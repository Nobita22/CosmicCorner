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it05632.TOSHIBA-TTDI\Desktop\Personal\"/>
    </mc:Choice>
  </mc:AlternateContent>
  <xr:revisionPtr revIDLastSave="0" documentId="13_ncr:1_{17428690-52B2-47B3-A467-63FAC3D69E6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ersonal" sheetId="1" r:id="rId1"/>
    <sheet name="CosmicCorner" sheetId="10" r:id="rId2"/>
    <sheet name="Stalls" sheetId="11" r:id="rId3"/>
    <sheet name="Credit Card" sheetId="4" r:id="rId4"/>
    <sheet name="Mochi" sheetId="3" r:id="rId5"/>
    <sheet name="Divya Salary" sheetId="9" r:id="rId6"/>
    <sheet name="Divya Loan" sheetId="7" r:id="rId7"/>
  </sheets>
  <externalReferences>
    <externalReference r:id="rId8"/>
  </externalReferences>
  <definedNames>
    <definedName name="tdpur.hdst">[1]enums!$B$3:$B$12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0" l="1"/>
  <c r="M5" i="10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M7" i="10" s="1"/>
  <c r="S11" i="11"/>
  <c r="S10" i="11"/>
  <c r="S9" i="11"/>
  <c r="S8" i="11"/>
  <c r="S7" i="11"/>
  <c r="S6" i="11"/>
  <c r="S5" i="11"/>
  <c r="S4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D19" i="11"/>
  <c r="D18" i="11"/>
  <c r="D17" i="11"/>
  <c r="D16" i="11"/>
  <c r="D15" i="11"/>
  <c r="D14" i="11"/>
  <c r="D13" i="11"/>
  <c r="D12" i="11"/>
  <c r="M4" i="10" s="1"/>
  <c r="D11" i="11"/>
  <c r="D10" i="11"/>
  <c r="D9" i="11"/>
  <c r="D8" i="11"/>
  <c r="D7" i="11"/>
  <c r="D6" i="11"/>
  <c r="D5" i="11"/>
  <c r="D4" i="11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4" i="10"/>
  <c r="C12" i="10"/>
  <c r="C7" i="10"/>
  <c r="F7" i="10"/>
  <c r="E7" i="10"/>
  <c r="C5" i="10"/>
  <c r="E12" i="10" l="1"/>
  <c r="F12" i="10"/>
  <c r="F6" i="10"/>
  <c r="F5" i="10"/>
  <c r="F4" i="10"/>
  <c r="C16" i="10" l="1"/>
  <c r="J10" i="7"/>
  <c r="S6" i="3"/>
  <c r="P4" i="3"/>
  <c r="F35" i="3"/>
  <c r="E35" i="3"/>
  <c r="F34" i="3"/>
  <c r="L4" i="3" s="1"/>
  <c r="N4" i="3" s="1"/>
  <c r="E34" i="3"/>
  <c r="F33" i="3"/>
  <c r="E33" i="3"/>
  <c r="F32" i="3"/>
  <c r="E32" i="3"/>
  <c r="F31" i="3"/>
  <c r="E31" i="3"/>
  <c r="F30" i="3"/>
  <c r="E30" i="3"/>
  <c r="F29" i="3"/>
  <c r="E29" i="3"/>
  <c r="J5" i="7"/>
  <c r="R2" i="1"/>
  <c r="R3" i="9"/>
  <c r="I3" i="9"/>
  <c r="J9" i="7"/>
  <c r="J8" i="7"/>
  <c r="J7" i="7"/>
  <c r="J6" i="7"/>
  <c r="R4" i="3" l="1"/>
  <c r="K4" i="3"/>
  <c r="B3" i="7"/>
  <c r="P6" i="3"/>
  <c r="P5" i="3"/>
  <c r="F24" i="3"/>
  <c r="E24" i="3"/>
  <c r="F23" i="3"/>
  <c r="E23" i="3"/>
  <c r="F22" i="3"/>
  <c r="E22" i="3"/>
  <c r="F21" i="3"/>
  <c r="E21" i="3"/>
  <c r="F20" i="3"/>
  <c r="L6" i="3" s="1"/>
  <c r="N6" i="3" s="1"/>
  <c r="E20" i="3"/>
  <c r="F19" i="3"/>
  <c r="E19" i="3"/>
  <c r="F18" i="3"/>
  <c r="E18" i="3"/>
  <c r="F5" i="3"/>
  <c r="F6" i="3"/>
  <c r="F7" i="3"/>
  <c r="F8" i="3"/>
  <c r="F9" i="3"/>
  <c r="F10" i="3"/>
  <c r="F4" i="3"/>
  <c r="E5" i="3"/>
  <c r="E6" i="3"/>
  <c r="E7" i="3"/>
  <c r="E8" i="3"/>
  <c r="E9" i="3"/>
  <c r="E10" i="3"/>
  <c r="E4" i="3"/>
  <c r="M4" i="3" l="1"/>
  <c r="Q4" i="3" s="1"/>
  <c r="S4" i="3"/>
  <c r="R6" i="3"/>
  <c r="K6" i="3"/>
  <c r="M6" i="3" s="1"/>
  <c r="Q6" i="3" s="1"/>
  <c r="L5" i="3"/>
  <c r="N5" i="3" s="1"/>
  <c r="R5" i="3" s="1"/>
  <c r="K5" i="3"/>
  <c r="M3" i="1"/>
  <c r="F3" i="1"/>
  <c r="M5" i="3" l="1"/>
  <c r="Q5" i="3" s="1"/>
  <c r="S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 Shaik</author>
  </authors>
  <commentList>
    <comment ref="B4" authorId="0" shapeId="0" xr:uid="{40112BAD-075B-487B-9CCF-A3516920D690}">
      <text>
        <r>
          <rPr>
            <b/>
            <sz val="9"/>
            <color indexed="81"/>
            <rFont val="Tahoma"/>
            <charset val="1"/>
          </rPr>
          <t>Sameer Shaik:</t>
        </r>
        <r>
          <rPr>
            <sz val="9"/>
            <color indexed="81"/>
            <rFont val="Tahoma"/>
            <charset val="1"/>
          </rPr>
          <t xml:space="preserve">
(Up To Jan 2028)</t>
        </r>
      </text>
    </comment>
  </commentList>
</comments>
</file>

<file path=xl/sharedStrings.xml><?xml version="1.0" encoding="utf-8"?>
<sst xmlns="http://schemas.openxmlformats.org/spreadsheetml/2006/main" count="379" uniqueCount="145">
  <si>
    <t>Laptop+VR+Mobile</t>
  </si>
  <si>
    <t>Divya</t>
  </si>
  <si>
    <t>SIP</t>
  </si>
  <si>
    <t>Mom</t>
  </si>
  <si>
    <t>Nana</t>
  </si>
  <si>
    <t>Salary</t>
  </si>
  <si>
    <t>Balance</t>
  </si>
  <si>
    <t>INCOME</t>
  </si>
  <si>
    <t>OUTGOING</t>
  </si>
  <si>
    <t>Mukesh</t>
  </si>
  <si>
    <t>LIVE</t>
  </si>
  <si>
    <t>DEVELOPMENT</t>
  </si>
  <si>
    <t>Land Loan + Scooty</t>
  </si>
  <si>
    <t>Insurance</t>
  </si>
  <si>
    <t>MF</t>
  </si>
  <si>
    <t>Buttons</t>
  </si>
  <si>
    <t>Box</t>
  </si>
  <si>
    <t>Display</t>
  </si>
  <si>
    <t>Battery</t>
  </si>
  <si>
    <t>Touch Sensor</t>
  </si>
  <si>
    <t>Speaker</t>
  </si>
  <si>
    <t>Actual Price</t>
  </si>
  <si>
    <t>Profit</t>
  </si>
  <si>
    <t>BW Mochi</t>
  </si>
  <si>
    <t>Items</t>
  </si>
  <si>
    <t>Qty</t>
  </si>
  <si>
    <t>Price</t>
  </si>
  <si>
    <t>Amount</t>
  </si>
  <si>
    <t>Retail Price</t>
  </si>
  <si>
    <t>W.Price</t>
  </si>
  <si>
    <t>R.Amount</t>
  </si>
  <si>
    <t>W.Amount</t>
  </si>
  <si>
    <t xml:space="preserve">Actual Amount </t>
  </si>
  <si>
    <t>Retail</t>
  </si>
  <si>
    <t>Wholesale</t>
  </si>
  <si>
    <t>Item</t>
  </si>
  <si>
    <t>Selling Amount</t>
  </si>
  <si>
    <t>Colour Mochi</t>
  </si>
  <si>
    <t>Shipping</t>
  </si>
  <si>
    <t>HSBC</t>
  </si>
  <si>
    <t>Sameer</t>
  </si>
  <si>
    <t>Sister</t>
  </si>
  <si>
    <t>HDFC</t>
  </si>
  <si>
    <t>Sameer HDFC</t>
  </si>
  <si>
    <t>Loan</t>
  </si>
  <si>
    <t>ICIC Loan</t>
  </si>
  <si>
    <t>Sister ICIC Loan</t>
  </si>
  <si>
    <t>Home</t>
  </si>
  <si>
    <t>Hostel</t>
  </si>
  <si>
    <t>Gold</t>
  </si>
  <si>
    <t>RK</t>
  </si>
  <si>
    <t>Credit</t>
  </si>
  <si>
    <t>Debit</t>
  </si>
  <si>
    <t>ICICI OLD Loan</t>
  </si>
  <si>
    <t>ESP32 C3</t>
  </si>
  <si>
    <t>BW Mochi - Basic</t>
  </si>
  <si>
    <t>tirupati</t>
  </si>
  <si>
    <t>Misc</t>
  </si>
  <si>
    <t>Sales</t>
  </si>
  <si>
    <t xml:space="preserve">A1 Mini </t>
  </si>
  <si>
    <t>x</t>
  </si>
  <si>
    <t>Cards(200)</t>
  </si>
  <si>
    <t xml:space="preserve">Athena </t>
  </si>
  <si>
    <t>School</t>
  </si>
  <si>
    <t>Stadium</t>
  </si>
  <si>
    <t>Stalls</t>
  </si>
  <si>
    <t>Filaments</t>
  </si>
  <si>
    <t>Income</t>
  </si>
  <si>
    <t>Expenses</t>
  </si>
  <si>
    <t>Malaysia</t>
  </si>
  <si>
    <t>white</t>
  </si>
  <si>
    <t>black</t>
  </si>
  <si>
    <t>red</t>
  </si>
  <si>
    <t>green</t>
  </si>
  <si>
    <t>biege</t>
  </si>
  <si>
    <t>orange</t>
  </si>
  <si>
    <t>blue</t>
  </si>
  <si>
    <t>yellow</t>
  </si>
  <si>
    <t>Filaments List</t>
  </si>
  <si>
    <t>Type</t>
  </si>
  <si>
    <t>Colour</t>
  </si>
  <si>
    <t>PLA</t>
  </si>
  <si>
    <t>Place</t>
  </si>
  <si>
    <t>Paid</t>
  </si>
  <si>
    <t>Divyasree</t>
  </si>
  <si>
    <t>Stall Rent</t>
  </si>
  <si>
    <t>=</t>
  </si>
  <si>
    <t>PL</t>
  </si>
  <si>
    <t>Surya Sir</t>
  </si>
  <si>
    <t>Inventory</t>
  </si>
  <si>
    <t>Baby Dargon</t>
  </si>
  <si>
    <t>Product</t>
  </si>
  <si>
    <t>Big Dragon</t>
  </si>
  <si>
    <t>Sparrow</t>
  </si>
  <si>
    <t>Elephant</t>
  </si>
  <si>
    <t xml:space="preserve">Fidget Keychain </t>
  </si>
  <si>
    <t>ButterFly Keychain</t>
  </si>
  <si>
    <t>Spinner Top</t>
  </si>
  <si>
    <t>Hello Kitty Keychain</t>
  </si>
  <si>
    <t>Hello Kitty &amp; Butterfly  Keychain</t>
  </si>
  <si>
    <t>Santa Cap Ear ring</t>
  </si>
  <si>
    <t>Black &amp; White Keychain</t>
  </si>
  <si>
    <t>Black Cat Sigma</t>
  </si>
  <si>
    <t>Dragon Keychain</t>
  </si>
  <si>
    <t>Red House</t>
  </si>
  <si>
    <t>Spinner Top &amp; batman Kaychain</t>
  </si>
  <si>
    <t>My toy</t>
  </si>
  <si>
    <t>Cat</t>
  </si>
  <si>
    <t>Orange Cat</t>
  </si>
  <si>
    <t>Spinning Top</t>
  </si>
  <si>
    <t>2-Tops,2Ducks,2Rabbits</t>
  </si>
  <si>
    <t>Whistle</t>
  </si>
  <si>
    <t xml:space="preserve">Dragon Keychain </t>
  </si>
  <si>
    <t>Tree, Dragon, Rose</t>
  </si>
  <si>
    <t>Ghost</t>
  </si>
  <si>
    <t>Pikachu Keychain</t>
  </si>
  <si>
    <t>Red Fidget</t>
  </si>
  <si>
    <t xml:space="preserve">Whistlt </t>
  </si>
  <si>
    <t>whistle</t>
  </si>
  <si>
    <t>Christ</t>
  </si>
  <si>
    <t>Small Fidget</t>
  </si>
  <si>
    <t>Orange Half Fidget</t>
  </si>
  <si>
    <t>House,Small Deer, SmallDuck&amp;Small Rabbit</t>
  </si>
  <si>
    <t>Keychains</t>
  </si>
  <si>
    <t>Batman Keychain, Small Rabbit&amp;Big Rabbit</t>
  </si>
  <si>
    <t>Black and White Fidget</t>
  </si>
  <si>
    <t xml:space="preserve">Pokimon Keychain </t>
  </si>
  <si>
    <t>Balck Spiral</t>
  </si>
  <si>
    <t>Stranger Things Keychain</t>
  </si>
  <si>
    <t>Small Ducks</t>
  </si>
  <si>
    <t>Fidget</t>
  </si>
  <si>
    <t>Small Rabbits</t>
  </si>
  <si>
    <t xml:space="preserve">Stranger Things Keychain </t>
  </si>
  <si>
    <t>Small Orange Fidget</t>
  </si>
  <si>
    <t>Ptraveen</t>
  </si>
  <si>
    <t>Snow Ear ring</t>
  </si>
  <si>
    <t>4 Small Rabbits 1 Duck 1 Whistle</t>
  </si>
  <si>
    <t>Big Orange Bilk</t>
  </si>
  <si>
    <t>Ear Ring</t>
  </si>
  <si>
    <t xml:space="preserve">Rose </t>
  </si>
  <si>
    <t xml:space="preserve">Whistle </t>
  </si>
  <si>
    <t xml:space="preserve">Wanted Keychain </t>
  </si>
  <si>
    <t xml:space="preserve">Spiral Keychain </t>
  </si>
  <si>
    <t>Rabbit</t>
  </si>
  <si>
    <t xml:space="preserve">Batman Keychian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</si>
</sst>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3" borderId="1" xfId="0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it05632.TOSHIBA-TTDI\Desktop\Solutions%20Automation\Nov%20PO%20Data.xlsx" TargetMode="External"/><Relationship Id="rId1" Type="http://schemas.openxmlformats.org/officeDocument/2006/relationships/externalLinkPath" Target="/Users/cit05632.TOSHIBA-TTDI/Desktop/Solutions%20Automation/Nov%20PO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4"/>
      <sheetName val="Sheet3"/>
      <sheetName val="Sheet2"/>
      <sheetName val="Sheet1"/>
      <sheetName val="enum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Created</v>
          </cell>
        </row>
        <row r="4">
          <cell r="B4" t="str">
            <v>Approved</v>
          </cell>
        </row>
        <row r="5">
          <cell r="B5" t="str">
            <v>Sent</v>
          </cell>
        </row>
        <row r="6">
          <cell r="B6" t="str">
            <v>In Process</v>
          </cell>
        </row>
        <row r="7">
          <cell r="B7" t="str">
            <v>Closed</v>
          </cell>
        </row>
        <row r="8">
          <cell r="B8" t="str">
            <v>Canceled</v>
          </cell>
        </row>
        <row r="9">
          <cell r="B9" t="str">
            <v>Modified</v>
          </cell>
        </row>
        <row r="10">
          <cell r="B10" t="str">
            <v>Blocked</v>
          </cell>
        </row>
        <row r="11">
          <cell r="B11" t="str">
            <v>Released</v>
          </cell>
        </row>
        <row r="12">
          <cell r="B12" t="str">
            <v>Not Applicable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workbookViewId="0">
      <selection activeCell="K3" sqref="K3:K4"/>
    </sheetView>
  </sheetViews>
  <sheetFormatPr defaultRowHeight="14.5" x14ac:dyDescent="0.35"/>
  <cols>
    <col min="1" max="1" width="7.453125" style="11" bestFit="1" customWidth="1"/>
    <col min="2" max="2" width="5.81640625" style="11" bestFit="1" customWidth="1"/>
    <col min="3" max="3" width="16.7265625" style="11" bestFit="1" customWidth="1"/>
    <col min="4" max="4" width="5.81640625" style="11" bestFit="1" customWidth="1"/>
    <col min="5" max="5" width="7.26953125" bestFit="1" customWidth="1"/>
    <col min="6" max="6" width="5.81640625" bestFit="1" customWidth="1"/>
    <col min="7" max="7" width="8.7265625" style="3"/>
    <col min="8" max="8" width="7.453125" style="11" bestFit="1" customWidth="1"/>
    <col min="9" max="9" width="6.81640625" style="11" bestFit="1" customWidth="1"/>
    <col min="10" max="10" width="16.7265625" style="11" bestFit="1" customWidth="1"/>
    <col min="11" max="11" width="5.81640625" style="11" bestFit="1" customWidth="1"/>
    <col min="12" max="12" width="7.26953125" bestFit="1" customWidth="1"/>
    <col min="13" max="13" width="6.453125" bestFit="1" customWidth="1"/>
    <col min="14" max="14" width="8.7265625" style="3"/>
  </cols>
  <sheetData>
    <row r="1" spans="1:18" s="2" customFormat="1" x14ac:dyDescent="0.35">
      <c r="A1" s="17" t="s">
        <v>10</v>
      </c>
      <c r="B1" s="17"/>
      <c r="C1" s="17"/>
      <c r="D1" s="17"/>
      <c r="E1" s="17"/>
      <c r="F1" s="18"/>
      <c r="G1" s="3"/>
      <c r="H1" s="17" t="s">
        <v>11</v>
      </c>
      <c r="I1" s="17"/>
      <c r="J1" s="17"/>
      <c r="K1" s="17"/>
      <c r="L1" s="17"/>
      <c r="M1" s="17"/>
      <c r="N1" s="3"/>
    </row>
    <row r="2" spans="1:18" x14ac:dyDescent="0.35">
      <c r="A2" s="16" t="s">
        <v>7</v>
      </c>
      <c r="B2" s="16"/>
      <c r="C2" s="16" t="s">
        <v>8</v>
      </c>
      <c r="D2" s="16"/>
      <c r="H2" s="19" t="s">
        <v>7</v>
      </c>
      <c r="I2" s="20"/>
      <c r="J2" s="19" t="s">
        <v>8</v>
      </c>
      <c r="K2" s="20"/>
      <c r="O2" t="s">
        <v>51</v>
      </c>
      <c r="P2" t="s">
        <v>52</v>
      </c>
      <c r="Q2" t="s">
        <v>6</v>
      </c>
      <c r="R2">
        <f>SUM(O:O)-SUM(P:P)</f>
        <v>15586</v>
      </c>
    </row>
    <row r="3" spans="1:18" x14ac:dyDescent="0.35">
      <c r="A3" s="11" t="s">
        <v>5</v>
      </c>
      <c r="B3" s="11">
        <v>53000</v>
      </c>
      <c r="C3" s="11" t="s">
        <v>12</v>
      </c>
      <c r="D3" s="11">
        <v>12300</v>
      </c>
      <c r="E3" s="11" t="s">
        <v>6</v>
      </c>
      <c r="F3" s="11">
        <f>SUM(B:B)-SUM(D:D)</f>
        <v>15000</v>
      </c>
      <c r="H3" s="11" t="s">
        <v>5</v>
      </c>
      <c r="I3" s="11">
        <v>53000</v>
      </c>
      <c r="J3" s="11" t="s">
        <v>12</v>
      </c>
      <c r="K3" s="11">
        <v>12300</v>
      </c>
      <c r="L3" s="11" t="s">
        <v>6</v>
      </c>
      <c r="M3" s="11">
        <f>SUM(I:I)-SUM(K:K)</f>
        <v>10000</v>
      </c>
      <c r="O3">
        <v>122900</v>
      </c>
      <c r="P3">
        <v>67633</v>
      </c>
    </row>
    <row r="4" spans="1:18" x14ac:dyDescent="0.35">
      <c r="A4" s="11" t="s">
        <v>9</v>
      </c>
      <c r="B4" s="11">
        <v>5000</v>
      </c>
      <c r="C4" s="11" t="s">
        <v>0</v>
      </c>
      <c r="D4" s="11">
        <v>12300</v>
      </c>
      <c r="H4" s="11" t="s">
        <v>9</v>
      </c>
      <c r="I4" s="11">
        <v>0</v>
      </c>
      <c r="J4" s="11" t="s">
        <v>0</v>
      </c>
      <c r="K4" s="11">
        <v>12300</v>
      </c>
      <c r="O4">
        <v>2410</v>
      </c>
      <c r="P4">
        <v>7180</v>
      </c>
    </row>
    <row r="5" spans="1:18" x14ac:dyDescent="0.35">
      <c r="C5" s="11" t="s">
        <v>4</v>
      </c>
      <c r="D5" s="11">
        <v>5000</v>
      </c>
      <c r="J5" s="11" t="s">
        <v>4</v>
      </c>
      <c r="K5" s="11">
        <v>5000</v>
      </c>
      <c r="O5">
        <v>6000</v>
      </c>
      <c r="P5">
        <v>2059</v>
      </c>
    </row>
    <row r="6" spans="1:18" x14ac:dyDescent="0.35">
      <c r="C6" s="11" t="s">
        <v>3</v>
      </c>
      <c r="D6" s="11">
        <v>9000</v>
      </c>
      <c r="J6" s="11" t="s">
        <v>3</v>
      </c>
      <c r="K6" s="11">
        <v>9000</v>
      </c>
      <c r="O6">
        <v>23000</v>
      </c>
      <c r="P6">
        <v>31852</v>
      </c>
    </row>
    <row r="7" spans="1:18" x14ac:dyDescent="0.35">
      <c r="C7" s="11" t="s">
        <v>2</v>
      </c>
      <c r="D7" s="11">
        <v>500</v>
      </c>
      <c r="J7" s="11" t="s">
        <v>2</v>
      </c>
      <c r="K7" s="11">
        <v>500</v>
      </c>
      <c r="P7">
        <v>30000</v>
      </c>
    </row>
    <row r="8" spans="1:18" x14ac:dyDescent="0.35">
      <c r="C8" s="11" t="s">
        <v>1</v>
      </c>
      <c r="D8" s="11">
        <v>3900</v>
      </c>
      <c r="J8" s="11" t="s">
        <v>1</v>
      </c>
      <c r="K8" s="11">
        <v>3900</v>
      </c>
    </row>
    <row r="9" spans="1:18" x14ac:dyDescent="0.35">
      <c r="C9" s="11" t="s">
        <v>13</v>
      </c>
      <c r="D9" s="11">
        <v>0</v>
      </c>
      <c r="J9" s="11" t="s">
        <v>13</v>
      </c>
      <c r="K9" s="11">
        <v>0</v>
      </c>
    </row>
    <row r="10" spans="1:18" x14ac:dyDescent="0.35">
      <c r="C10" s="11" t="s">
        <v>14</v>
      </c>
      <c r="J10" s="11" t="s">
        <v>14</v>
      </c>
      <c r="K10" s="11">
        <v>0</v>
      </c>
    </row>
  </sheetData>
  <mergeCells count="6">
    <mergeCell ref="A2:B2"/>
    <mergeCell ref="C2:D2"/>
    <mergeCell ref="H1:M1"/>
    <mergeCell ref="A1:F1"/>
    <mergeCell ref="H2:I2"/>
    <mergeCell ref="J2:K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BFF0-46D8-4888-B3EF-8E749946B9C3}">
  <dimension ref="A2:X95"/>
  <sheetViews>
    <sheetView tabSelected="1" workbookViewId="0">
      <selection activeCell="H3" sqref="H3"/>
    </sheetView>
  </sheetViews>
  <sheetFormatPr defaultRowHeight="14.5" x14ac:dyDescent="0.35"/>
  <cols>
    <col min="2" max="2" width="9.81640625" bestFit="1" customWidth="1"/>
  </cols>
  <sheetData>
    <row r="2" spans="1:24" x14ac:dyDescent="0.35">
      <c r="C2" t="s">
        <v>25</v>
      </c>
      <c r="E2" t="s">
        <v>26</v>
      </c>
      <c r="F2" t="s">
        <v>27</v>
      </c>
      <c r="K2" s="16" t="s">
        <v>65</v>
      </c>
      <c r="L2" s="16"/>
      <c r="M2" s="16"/>
      <c r="O2" s="16" t="s">
        <v>78</v>
      </c>
      <c r="P2" s="16"/>
      <c r="Q2" s="16"/>
      <c r="T2" t="s">
        <v>89</v>
      </c>
    </row>
    <row r="3" spans="1:24" x14ac:dyDescent="0.35">
      <c r="A3" t="s">
        <v>68</v>
      </c>
      <c r="K3" s="11" t="s">
        <v>82</v>
      </c>
      <c r="L3" s="11" t="s">
        <v>83</v>
      </c>
      <c r="M3" s="11" t="s">
        <v>58</v>
      </c>
      <c r="O3" s="11" t="s">
        <v>79</v>
      </c>
      <c r="P3" s="11" t="s">
        <v>80</v>
      </c>
      <c r="Q3" s="11" t="s">
        <v>25</v>
      </c>
      <c r="U3" t="s">
        <v>91</v>
      </c>
      <c r="V3" t="s">
        <v>25</v>
      </c>
      <c r="W3" t="s">
        <v>26</v>
      </c>
      <c r="X3" t="s">
        <v>27</v>
      </c>
    </row>
    <row r="4" spans="1:24" x14ac:dyDescent="0.35">
      <c r="B4" t="s">
        <v>59</v>
      </c>
      <c r="C4">
        <v>1</v>
      </c>
      <c r="D4" t="s">
        <v>60</v>
      </c>
      <c r="E4">
        <v>32000</v>
      </c>
      <c r="F4">
        <f>C4*E4</f>
        <v>32000</v>
      </c>
      <c r="K4" s="11" t="s">
        <v>62</v>
      </c>
      <c r="L4" s="11">
        <v>0</v>
      </c>
      <c r="M4" s="11">
        <f>SUM(Stalls!D4:D18)</f>
        <v>1570</v>
      </c>
      <c r="O4" s="11" t="s">
        <v>81</v>
      </c>
      <c r="P4" s="11" t="s">
        <v>70</v>
      </c>
      <c r="Q4" s="11">
        <v>3</v>
      </c>
      <c r="R4">
        <v>1</v>
      </c>
      <c r="U4" t="s">
        <v>90</v>
      </c>
      <c r="V4">
        <v>1</v>
      </c>
      <c r="W4">
        <v>40</v>
      </c>
      <c r="X4">
        <f>V4*W4</f>
        <v>40</v>
      </c>
    </row>
    <row r="5" spans="1:24" x14ac:dyDescent="0.35">
      <c r="B5" t="s">
        <v>66</v>
      </c>
      <c r="C5">
        <f>SUM(Q4:Q30)</f>
        <v>12</v>
      </c>
      <c r="D5" t="s">
        <v>60</v>
      </c>
      <c r="E5">
        <v>800</v>
      </c>
      <c r="F5">
        <f>C5*E5</f>
        <v>9600</v>
      </c>
      <c r="H5" s="11">
        <v>1570</v>
      </c>
      <c r="K5" s="11" t="s">
        <v>63</v>
      </c>
      <c r="L5" s="11">
        <v>0</v>
      </c>
      <c r="M5" s="11">
        <f>SUM(Stalls!I4:I17)</f>
        <v>3310</v>
      </c>
      <c r="O5" s="11" t="s">
        <v>81</v>
      </c>
      <c r="P5" s="11" t="s">
        <v>71</v>
      </c>
      <c r="Q5" s="11">
        <v>2</v>
      </c>
      <c r="U5" t="s">
        <v>92</v>
      </c>
      <c r="V5">
        <v>1</v>
      </c>
      <c r="W5">
        <v>50</v>
      </c>
      <c r="X5">
        <f t="shared" ref="X5:X68" si="0">V5*W5</f>
        <v>50</v>
      </c>
    </row>
    <row r="6" spans="1:24" x14ac:dyDescent="0.35">
      <c r="B6" t="s">
        <v>61</v>
      </c>
      <c r="C6">
        <v>1</v>
      </c>
      <c r="D6" t="s">
        <v>60</v>
      </c>
      <c r="E6">
        <v>500</v>
      </c>
      <c r="F6">
        <f>C6*E6</f>
        <v>500</v>
      </c>
      <c r="H6" s="11">
        <v>3310</v>
      </c>
      <c r="K6" s="11" t="s">
        <v>64</v>
      </c>
      <c r="L6" s="11">
        <v>1000</v>
      </c>
      <c r="M6" s="11">
        <f>SUM(Stalls!N4:N18)</f>
        <v>2425</v>
      </c>
      <c r="O6" s="11" t="s">
        <v>81</v>
      </c>
      <c r="P6" s="11" t="s">
        <v>72</v>
      </c>
      <c r="Q6" s="11">
        <v>2</v>
      </c>
      <c r="R6">
        <v>1</v>
      </c>
      <c r="U6" t="s">
        <v>93</v>
      </c>
      <c r="V6">
        <v>1</v>
      </c>
      <c r="W6">
        <v>50</v>
      </c>
      <c r="X6">
        <f t="shared" si="0"/>
        <v>50</v>
      </c>
    </row>
    <row r="7" spans="1:24" x14ac:dyDescent="0.35">
      <c r="B7" t="s">
        <v>85</v>
      </c>
      <c r="C7">
        <f>COUNTIF(K4:K30,"*")</f>
        <v>5</v>
      </c>
      <c r="D7" t="s">
        <v>86</v>
      </c>
      <c r="E7">
        <f>SUM(L4:L30)</f>
        <v>6000</v>
      </c>
      <c r="F7">
        <f>SUM(L4:L30)</f>
        <v>6000</v>
      </c>
      <c r="H7" s="11">
        <v>2425</v>
      </c>
      <c r="K7" s="11" t="s">
        <v>69</v>
      </c>
      <c r="L7" s="11">
        <v>2500</v>
      </c>
      <c r="M7" s="11">
        <f>SUM(Stalls!S4:S48)</f>
        <v>7465</v>
      </c>
      <c r="O7" s="11" t="s">
        <v>81</v>
      </c>
      <c r="P7" s="11" t="s">
        <v>74</v>
      </c>
      <c r="Q7" s="11">
        <v>1</v>
      </c>
      <c r="U7" t="s">
        <v>94</v>
      </c>
      <c r="V7">
        <v>1</v>
      </c>
      <c r="W7">
        <v>40</v>
      </c>
      <c r="X7">
        <f t="shared" si="0"/>
        <v>40</v>
      </c>
    </row>
    <row r="8" spans="1:24" x14ac:dyDescent="0.35">
      <c r="H8" s="11">
        <v>7365</v>
      </c>
      <c r="K8" s="11" t="s">
        <v>84</v>
      </c>
      <c r="L8" s="11">
        <v>2500</v>
      </c>
      <c r="M8" s="11"/>
      <c r="O8" s="11" t="s">
        <v>81</v>
      </c>
      <c r="P8" s="11" t="s">
        <v>73</v>
      </c>
      <c r="Q8" s="11">
        <v>1</v>
      </c>
      <c r="U8" t="s">
        <v>95</v>
      </c>
      <c r="V8">
        <v>1</v>
      </c>
      <c r="W8">
        <v>50</v>
      </c>
      <c r="X8">
        <f t="shared" si="0"/>
        <v>50</v>
      </c>
    </row>
    <row r="9" spans="1:24" x14ac:dyDescent="0.35">
      <c r="K9" s="11"/>
      <c r="L9" s="11"/>
      <c r="M9" s="11"/>
      <c r="O9" s="11" t="s">
        <v>81</v>
      </c>
      <c r="P9" s="11" t="s">
        <v>75</v>
      </c>
      <c r="Q9" s="11">
        <v>1</v>
      </c>
      <c r="U9" t="s">
        <v>96</v>
      </c>
      <c r="V9">
        <v>1</v>
      </c>
      <c r="W9">
        <v>50</v>
      </c>
      <c r="X9">
        <f t="shared" si="0"/>
        <v>50</v>
      </c>
    </row>
    <row r="10" spans="1:24" x14ac:dyDescent="0.35">
      <c r="K10" s="11"/>
      <c r="L10" s="11"/>
      <c r="M10" s="11"/>
      <c r="O10" s="11" t="s">
        <v>81</v>
      </c>
      <c r="P10" s="11" t="s">
        <v>76</v>
      </c>
      <c r="Q10" s="11">
        <v>1</v>
      </c>
      <c r="R10">
        <v>1</v>
      </c>
      <c r="U10" t="s">
        <v>97</v>
      </c>
      <c r="V10">
        <v>1</v>
      </c>
      <c r="W10">
        <v>150</v>
      </c>
      <c r="X10">
        <f t="shared" si="0"/>
        <v>150</v>
      </c>
    </row>
    <row r="11" spans="1:24" x14ac:dyDescent="0.35">
      <c r="A11" t="s">
        <v>67</v>
      </c>
      <c r="K11" s="11"/>
      <c r="L11" s="11"/>
      <c r="M11" s="11"/>
      <c r="O11" s="11" t="s">
        <v>81</v>
      </c>
      <c r="P11" s="11" t="s">
        <v>77</v>
      </c>
      <c r="Q11" s="11">
        <v>1</v>
      </c>
      <c r="U11" t="s">
        <v>97</v>
      </c>
      <c r="V11">
        <v>1</v>
      </c>
      <c r="W11">
        <v>140</v>
      </c>
      <c r="X11">
        <f t="shared" si="0"/>
        <v>140</v>
      </c>
    </row>
    <row r="12" spans="1:24" x14ac:dyDescent="0.35">
      <c r="B12" t="s">
        <v>58</v>
      </c>
      <c r="C12">
        <f>COUNTIF(K4:K30,"*")</f>
        <v>5</v>
      </c>
      <c r="D12" t="s">
        <v>86</v>
      </c>
      <c r="E12">
        <f>SUM(M4:M30)</f>
        <v>14770</v>
      </c>
      <c r="F12">
        <f>SUM(M4:M30)</f>
        <v>14770</v>
      </c>
      <c r="K12" s="11"/>
      <c r="L12" s="11"/>
      <c r="M12" s="11"/>
      <c r="O12" s="11"/>
      <c r="P12" s="11"/>
      <c r="Q12" s="11"/>
      <c r="U12" t="s">
        <v>98</v>
      </c>
      <c r="V12">
        <v>2</v>
      </c>
      <c r="W12">
        <v>100</v>
      </c>
      <c r="X12">
        <f t="shared" si="0"/>
        <v>200</v>
      </c>
    </row>
    <row r="13" spans="1:24" x14ac:dyDescent="0.35">
      <c r="K13" s="11"/>
      <c r="L13" s="11"/>
      <c r="M13" s="11"/>
      <c r="O13" s="11"/>
      <c r="P13" s="11"/>
      <c r="Q13" s="11"/>
      <c r="U13" t="s">
        <v>99</v>
      </c>
      <c r="V13">
        <v>1</v>
      </c>
      <c r="W13">
        <v>100</v>
      </c>
      <c r="X13">
        <f t="shared" si="0"/>
        <v>100</v>
      </c>
    </row>
    <row r="14" spans="1:24" x14ac:dyDescent="0.35">
      <c r="K14" s="11"/>
      <c r="L14" s="11"/>
      <c r="M14" s="11"/>
      <c r="O14" s="11"/>
      <c r="P14" s="11"/>
      <c r="Q14" s="11"/>
      <c r="U14" t="s">
        <v>100</v>
      </c>
      <c r="V14">
        <v>1</v>
      </c>
      <c r="W14">
        <v>100</v>
      </c>
      <c r="X14">
        <f t="shared" si="0"/>
        <v>100</v>
      </c>
    </row>
    <row r="15" spans="1:24" x14ac:dyDescent="0.35">
      <c r="A15" t="s">
        <v>87</v>
      </c>
      <c r="K15" s="11"/>
      <c r="L15" s="11"/>
      <c r="M15" s="11"/>
      <c r="O15" s="11"/>
      <c r="P15" s="11"/>
      <c r="Q15" s="11"/>
      <c r="U15" t="s">
        <v>101</v>
      </c>
      <c r="V15">
        <v>1</v>
      </c>
      <c r="W15">
        <v>200</v>
      </c>
      <c r="X15">
        <f t="shared" si="0"/>
        <v>200</v>
      </c>
    </row>
    <row r="16" spans="1:24" x14ac:dyDescent="0.35">
      <c r="B16" t="s">
        <v>58</v>
      </c>
      <c r="C16">
        <f>F12-(F5+F6+F7)</f>
        <v>-1330</v>
      </c>
      <c r="K16" s="11"/>
      <c r="L16" s="11"/>
      <c r="M16" s="11"/>
      <c r="O16" s="11"/>
      <c r="P16" s="11"/>
      <c r="Q16" s="11"/>
      <c r="U16" t="s">
        <v>102</v>
      </c>
      <c r="V16">
        <v>1</v>
      </c>
      <c r="W16">
        <v>200</v>
      </c>
      <c r="X16">
        <f t="shared" si="0"/>
        <v>200</v>
      </c>
    </row>
    <row r="17" spans="11:24" x14ac:dyDescent="0.35">
      <c r="K17" s="11"/>
      <c r="L17" s="11"/>
      <c r="M17" s="11"/>
      <c r="O17" s="11"/>
      <c r="P17" s="11"/>
      <c r="Q17" s="11"/>
      <c r="U17" t="s">
        <v>103</v>
      </c>
      <c r="V17">
        <v>1</v>
      </c>
      <c r="W17">
        <v>150</v>
      </c>
      <c r="X17">
        <f t="shared" si="0"/>
        <v>150</v>
      </c>
    </row>
    <row r="18" spans="11:24" x14ac:dyDescent="0.35">
      <c r="K18" s="11"/>
      <c r="L18" s="11"/>
      <c r="M18" s="11"/>
      <c r="O18" s="11"/>
      <c r="P18" s="11"/>
      <c r="Q18" s="11"/>
      <c r="U18" t="s">
        <v>97</v>
      </c>
      <c r="V18">
        <v>1</v>
      </c>
      <c r="W18">
        <v>150</v>
      </c>
      <c r="X18">
        <f t="shared" si="0"/>
        <v>150</v>
      </c>
    </row>
    <row r="19" spans="11:24" x14ac:dyDescent="0.35">
      <c r="K19" s="11"/>
      <c r="L19" s="11"/>
      <c r="M19" s="11"/>
      <c r="O19" s="11"/>
      <c r="P19" s="11"/>
      <c r="Q19" s="11"/>
      <c r="X19">
        <f t="shared" si="0"/>
        <v>0</v>
      </c>
    </row>
    <row r="20" spans="11:24" x14ac:dyDescent="0.35">
      <c r="K20" s="11"/>
      <c r="L20" s="11"/>
      <c r="M20" s="11"/>
      <c r="O20" s="11"/>
      <c r="P20" s="11"/>
      <c r="Q20" s="11"/>
      <c r="U20" t="s">
        <v>104</v>
      </c>
      <c r="V20">
        <v>1</v>
      </c>
      <c r="W20">
        <v>100</v>
      </c>
      <c r="X20">
        <f t="shared" si="0"/>
        <v>100</v>
      </c>
    </row>
    <row r="21" spans="11:24" x14ac:dyDescent="0.35">
      <c r="K21" s="11"/>
      <c r="L21" s="11"/>
      <c r="M21" s="11"/>
      <c r="O21" s="11"/>
      <c r="P21" s="11"/>
      <c r="Q21" s="11"/>
      <c r="U21" t="s">
        <v>105</v>
      </c>
      <c r="V21">
        <v>1</v>
      </c>
      <c r="W21">
        <v>220</v>
      </c>
      <c r="X21">
        <f t="shared" si="0"/>
        <v>220</v>
      </c>
    </row>
    <row r="22" spans="11:24" x14ac:dyDescent="0.35">
      <c r="K22" s="11"/>
      <c r="L22" s="11"/>
      <c r="M22" s="11"/>
      <c r="O22" s="11"/>
      <c r="P22" s="11"/>
      <c r="Q22" s="11"/>
      <c r="U22" t="s">
        <v>106</v>
      </c>
      <c r="V22">
        <v>1</v>
      </c>
      <c r="W22">
        <v>350</v>
      </c>
      <c r="X22">
        <f t="shared" si="0"/>
        <v>350</v>
      </c>
    </row>
    <row r="23" spans="11:24" x14ac:dyDescent="0.35">
      <c r="K23" s="11"/>
      <c r="L23" s="11"/>
      <c r="M23" s="11"/>
      <c r="O23" s="11"/>
      <c r="P23" s="11"/>
      <c r="Q23" s="11"/>
      <c r="U23" t="s">
        <v>107</v>
      </c>
      <c r="V23">
        <v>1</v>
      </c>
      <c r="W23">
        <v>180</v>
      </c>
      <c r="X23">
        <f t="shared" si="0"/>
        <v>180</v>
      </c>
    </row>
    <row r="24" spans="11:24" x14ac:dyDescent="0.35">
      <c r="K24" s="11"/>
      <c r="L24" s="11"/>
      <c r="M24" s="11"/>
      <c r="O24" s="11"/>
      <c r="P24" s="11"/>
      <c r="Q24" s="11"/>
      <c r="U24" t="s">
        <v>108</v>
      </c>
      <c r="V24">
        <v>1</v>
      </c>
      <c r="W24">
        <v>150</v>
      </c>
      <c r="X24">
        <f t="shared" si="0"/>
        <v>150</v>
      </c>
    </row>
    <row r="25" spans="11:24" x14ac:dyDescent="0.35">
      <c r="K25" s="11"/>
      <c r="L25" s="11"/>
      <c r="M25" s="11"/>
      <c r="O25" s="11"/>
      <c r="P25" s="11"/>
      <c r="Q25" s="11"/>
      <c r="U25" t="s">
        <v>109</v>
      </c>
      <c r="V25">
        <v>1</v>
      </c>
      <c r="W25">
        <v>150</v>
      </c>
      <c r="X25">
        <f t="shared" si="0"/>
        <v>150</v>
      </c>
    </row>
    <row r="26" spans="11:24" x14ac:dyDescent="0.35">
      <c r="K26" s="11"/>
      <c r="L26" s="11"/>
      <c r="M26" s="11"/>
      <c r="O26" s="11"/>
      <c r="P26" s="11"/>
      <c r="Q26" s="11"/>
      <c r="U26" t="s">
        <v>109</v>
      </c>
      <c r="V26">
        <v>1</v>
      </c>
      <c r="W26">
        <v>150</v>
      </c>
      <c r="X26">
        <f t="shared" si="0"/>
        <v>150</v>
      </c>
    </row>
    <row r="27" spans="11:24" x14ac:dyDescent="0.35">
      <c r="K27" s="11"/>
      <c r="L27" s="11"/>
      <c r="M27" s="11"/>
      <c r="O27" s="11"/>
      <c r="P27" s="11"/>
      <c r="Q27" s="11"/>
      <c r="U27" t="s">
        <v>110</v>
      </c>
      <c r="V27">
        <v>1</v>
      </c>
      <c r="W27">
        <v>400</v>
      </c>
      <c r="X27">
        <f t="shared" si="0"/>
        <v>400</v>
      </c>
    </row>
    <row r="28" spans="11:24" x14ac:dyDescent="0.35">
      <c r="K28" s="11"/>
      <c r="L28" s="11"/>
      <c r="M28" s="11"/>
      <c r="O28" s="11"/>
      <c r="P28" s="11"/>
      <c r="Q28" s="11"/>
      <c r="U28" t="s">
        <v>111</v>
      </c>
      <c r="V28">
        <v>1</v>
      </c>
      <c r="W28">
        <v>25</v>
      </c>
      <c r="X28">
        <f t="shared" si="0"/>
        <v>25</v>
      </c>
    </row>
    <row r="29" spans="11:24" x14ac:dyDescent="0.35">
      <c r="K29" s="11"/>
      <c r="L29" s="11"/>
      <c r="M29" s="11"/>
      <c r="O29" s="11"/>
      <c r="P29" s="11"/>
      <c r="Q29" s="11"/>
      <c r="U29" t="s">
        <v>112</v>
      </c>
      <c r="V29">
        <v>1</v>
      </c>
      <c r="W29">
        <v>150</v>
      </c>
      <c r="X29">
        <f t="shared" si="0"/>
        <v>150</v>
      </c>
    </row>
    <row r="30" spans="11:24" x14ac:dyDescent="0.35">
      <c r="K30" s="11"/>
      <c r="L30" s="11"/>
      <c r="M30" s="11"/>
      <c r="O30" s="11"/>
      <c r="P30" s="11"/>
      <c r="Q30" s="11"/>
      <c r="U30" t="s">
        <v>113</v>
      </c>
      <c r="V30">
        <v>1</v>
      </c>
      <c r="W30">
        <v>900</v>
      </c>
      <c r="X30">
        <f t="shared" si="0"/>
        <v>900</v>
      </c>
    </row>
    <row r="31" spans="11:24" x14ac:dyDescent="0.35">
      <c r="U31" t="s">
        <v>114</v>
      </c>
      <c r="V31">
        <v>1</v>
      </c>
      <c r="W31">
        <v>180</v>
      </c>
      <c r="X31">
        <f t="shared" si="0"/>
        <v>180</v>
      </c>
    </row>
    <row r="32" spans="11:24" x14ac:dyDescent="0.35">
      <c r="U32" t="s">
        <v>115</v>
      </c>
      <c r="V32">
        <v>1</v>
      </c>
      <c r="W32">
        <v>100</v>
      </c>
      <c r="X32">
        <f t="shared" si="0"/>
        <v>100</v>
      </c>
    </row>
    <row r="33" spans="21:24" x14ac:dyDescent="0.35">
      <c r="U33" t="s">
        <v>116</v>
      </c>
      <c r="V33">
        <v>1</v>
      </c>
      <c r="W33">
        <v>280</v>
      </c>
      <c r="X33">
        <f t="shared" si="0"/>
        <v>280</v>
      </c>
    </row>
    <row r="34" spans="21:24" x14ac:dyDescent="0.35">
      <c r="X34">
        <f t="shared" si="0"/>
        <v>0</v>
      </c>
    </row>
    <row r="35" spans="21:24" x14ac:dyDescent="0.35">
      <c r="U35" t="s">
        <v>117</v>
      </c>
      <c r="V35">
        <v>1</v>
      </c>
      <c r="W35">
        <v>25</v>
      </c>
      <c r="X35">
        <f t="shared" si="0"/>
        <v>25</v>
      </c>
    </row>
    <row r="36" spans="21:24" x14ac:dyDescent="0.35">
      <c r="U36" t="s">
        <v>118</v>
      </c>
      <c r="V36">
        <v>1</v>
      </c>
      <c r="W36">
        <v>25</v>
      </c>
      <c r="X36">
        <f t="shared" si="0"/>
        <v>25</v>
      </c>
    </row>
    <row r="37" spans="21:24" x14ac:dyDescent="0.35">
      <c r="U37" t="s">
        <v>97</v>
      </c>
      <c r="V37">
        <v>1</v>
      </c>
      <c r="W37">
        <v>150</v>
      </c>
      <c r="X37">
        <f t="shared" si="0"/>
        <v>150</v>
      </c>
    </row>
    <row r="38" spans="21:24" x14ac:dyDescent="0.35">
      <c r="U38" t="s">
        <v>97</v>
      </c>
      <c r="V38">
        <v>1</v>
      </c>
      <c r="W38">
        <v>150</v>
      </c>
      <c r="X38">
        <f t="shared" si="0"/>
        <v>150</v>
      </c>
    </row>
    <row r="39" spans="21:24" x14ac:dyDescent="0.35">
      <c r="U39" t="s">
        <v>97</v>
      </c>
      <c r="V39">
        <v>1</v>
      </c>
      <c r="W39">
        <v>150</v>
      </c>
      <c r="X39">
        <f t="shared" si="0"/>
        <v>150</v>
      </c>
    </row>
    <row r="40" spans="21:24" x14ac:dyDescent="0.35">
      <c r="U40" t="s">
        <v>97</v>
      </c>
      <c r="V40">
        <v>1</v>
      </c>
      <c r="W40">
        <v>150</v>
      </c>
      <c r="X40">
        <f t="shared" si="0"/>
        <v>150</v>
      </c>
    </row>
    <row r="41" spans="21:24" x14ac:dyDescent="0.35">
      <c r="U41" t="s">
        <v>97</v>
      </c>
      <c r="V41">
        <v>1</v>
      </c>
      <c r="W41">
        <v>150</v>
      </c>
      <c r="X41">
        <f t="shared" si="0"/>
        <v>150</v>
      </c>
    </row>
    <row r="42" spans="21:24" x14ac:dyDescent="0.35">
      <c r="U42" t="s">
        <v>119</v>
      </c>
      <c r="V42">
        <v>1</v>
      </c>
      <c r="W42">
        <v>150</v>
      </c>
      <c r="X42">
        <f t="shared" si="0"/>
        <v>150</v>
      </c>
    </row>
    <row r="43" spans="21:24" x14ac:dyDescent="0.35">
      <c r="U43" t="s">
        <v>120</v>
      </c>
      <c r="V43">
        <v>1</v>
      </c>
      <c r="W43">
        <v>250</v>
      </c>
      <c r="X43">
        <f t="shared" si="0"/>
        <v>250</v>
      </c>
    </row>
    <row r="44" spans="21:24" x14ac:dyDescent="0.35">
      <c r="U44" t="s">
        <v>121</v>
      </c>
      <c r="V44">
        <v>1</v>
      </c>
      <c r="W44">
        <v>150</v>
      </c>
      <c r="X44">
        <f t="shared" si="0"/>
        <v>150</v>
      </c>
    </row>
    <row r="45" spans="21:24" x14ac:dyDescent="0.35">
      <c r="U45" t="s">
        <v>122</v>
      </c>
      <c r="V45">
        <v>1</v>
      </c>
      <c r="W45">
        <v>150</v>
      </c>
      <c r="X45">
        <f t="shared" si="0"/>
        <v>150</v>
      </c>
    </row>
    <row r="46" spans="21:24" x14ac:dyDescent="0.35">
      <c r="U46" t="s">
        <v>123</v>
      </c>
      <c r="V46">
        <v>2</v>
      </c>
      <c r="W46">
        <v>100</v>
      </c>
      <c r="X46">
        <f t="shared" si="0"/>
        <v>200</v>
      </c>
    </row>
    <row r="47" spans="21:24" x14ac:dyDescent="0.35">
      <c r="U47" t="s">
        <v>123</v>
      </c>
      <c r="V47">
        <v>2</v>
      </c>
      <c r="W47">
        <v>100</v>
      </c>
      <c r="X47">
        <f t="shared" si="0"/>
        <v>200</v>
      </c>
    </row>
    <row r="48" spans="21:24" x14ac:dyDescent="0.35">
      <c r="U48" t="s">
        <v>124</v>
      </c>
      <c r="V48">
        <v>1</v>
      </c>
      <c r="W48">
        <v>225</v>
      </c>
      <c r="X48">
        <f t="shared" si="0"/>
        <v>225</v>
      </c>
    </row>
    <row r="49" spans="15:24" x14ac:dyDescent="0.35">
      <c r="U49" t="s">
        <v>125</v>
      </c>
      <c r="V49">
        <v>1</v>
      </c>
      <c r="W49">
        <v>250</v>
      </c>
      <c r="X49">
        <f t="shared" si="0"/>
        <v>250</v>
      </c>
    </row>
    <row r="50" spans="15:24" x14ac:dyDescent="0.35">
      <c r="X50">
        <f t="shared" si="0"/>
        <v>0</v>
      </c>
    </row>
    <row r="51" spans="15:24" x14ac:dyDescent="0.35">
      <c r="U51" t="s">
        <v>97</v>
      </c>
      <c r="V51">
        <v>1</v>
      </c>
      <c r="W51">
        <v>150</v>
      </c>
      <c r="X51">
        <f t="shared" si="0"/>
        <v>150</v>
      </c>
    </row>
    <row r="52" spans="15:24" x14ac:dyDescent="0.35">
      <c r="U52" t="s">
        <v>126</v>
      </c>
      <c r="V52">
        <v>2</v>
      </c>
      <c r="W52">
        <v>100</v>
      </c>
      <c r="X52">
        <f t="shared" si="0"/>
        <v>200</v>
      </c>
    </row>
    <row r="53" spans="15:24" x14ac:dyDescent="0.35">
      <c r="U53" t="s">
        <v>127</v>
      </c>
      <c r="V53">
        <v>1</v>
      </c>
      <c r="W53">
        <v>200</v>
      </c>
      <c r="X53">
        <f t="shared" si="0"/>
        <v>200</v>
      </c>
    </row>
    <row r="54" spans="15:24" x14ac:dyDescent="0.35">
      <c r="U54" t="s">
        <v>128</v>
      </c>
      <c r="V54">
        <v>2</v>
      </c>
      <c r="W54">
        <v>150</v>
      </c>
      <c r="X54">
        <f t="shared" si="0"/>
        <v>300</v>
      </c>
    </row>
    <row r="55" spans="15:24" x14ac:dyDescent="0.35">
      <c r="U55" t="s">
        <v>129</v>
      </c>
      <c r="V55">
        <v>2</v>
      </c>
      <c r="W55">
        <v>25</v>
      </c>
      <c r="X55">
        <f t="shared" si="0"/>
        <v>50</v>
      </c>
    </row>
    <row r="56" spans="15:24" x14ac:dyDescent="0.35">
      <c r="U56" t="s">
        <v>130</v>
      </c>
      <c r="V56">
        <v>1</v>
      </c>
      <c r="W56">
        <v>400</v>
      </c>
      <c r="X56">
        <f t="shared" si="0"/>
        <v>400</v>
      </c>
    </row>
    <row r="57" spans="15:24" x14ac:dyDescent="0.35">
      <c r="U57" t="s">
        <v>108</v>
      </c>
      <c r="V57">
        <v>2</v>
      </c>
      <c r="W57">
        <v>100</v>
      </c>
      <c r="X57">
        <f t="shared" si="0"/>
        <v>200</v>
      </c>
    </row>
    <row r="58" spans="15:24" x14ac:dyDescent="0.35">
      <c r="U58" t="s">
        <v>97</v>
      </c>
      <c r="V58">
        <v>2</v>
      </c>
      <c r="W58">
        <v>175</v>
      </c>
      <c r="X58">
        <f t="shared" si="0"/>
        <v>350</v>
      </c>
    </row>
    <row r="59" spans="15:24" x14ac:dyDescent="0.35">
      <c r="U59" t="s">
        <v>131</v>
      </c>
      <c r="V59">
        <v>4</v>
      </c>
      <c r="W59">
        <v>100</v>
      </c>
      <c r="X59">
        <f t="shared" si="0"/>
        <v>400</v>
      </c>
    </row>
    <row r="60" spans="15:24" x14ac:dyDescent="0.35">
      <c r="U60" t="s">
        <v>132</v>
      </c>
      <c r="V60">
        <v>1</v>
      </c>
      <c r="W60">
        <v>150</v>
      </c>
      <c r="X60">
        <f t="shared" si="0"/>
        <v>150</v>
      </c>
    </row>
    <row r="61" spans="15:24" x14ac:dyDescent="0.35">
      <c r="O61">
        <v>6353</v>
      </c>
      <c r="U61" t="s">
        <v>133</v>
      </c>
      <c r="V61">
        <v>1</v>
      </c>
      <c r="W61">
        <v>190</v>
      </c>
      <c r="X61">
        <f t="shared" si="0"/>
        <v>190</v>
      </c>
    </row>
    <row r="62" spans="15:24" x14ac:dyDescent="0.35">
      <c r="O62">
        <v>6402</v>
      </c>
      <c r="P62" t="s">
        <v>134</v>
      </c>
      <c r="U62" t="s">
        <v>135</v>
      </c>
      <c r="V62">
        <v>1</v>
      </c>
      <c r="W62">
        <v>100</v>
      </c>
      <c r="X62">
        <f t="shared" si="0"/>
        <v>100</v>
      </c>
    </row>
    <row r="63" spans="15:24" x14ac:dyDescent="0.35">
      <c r="U63" t="s">
        <v>136</v>
      </c>
      <c r="V63">
        <v>1</v>
      </c>
      <c r="W63">
        <v>150</v>
      </c>
      <c r="X63">
        <f t="shared" si="0"/>
        <v>150</v>
      </c>
    </row>
    <row r="64" spans="15:24" x14ac:dyDescent="0.35">
      <c r="U64" t="s">
        <v>109</v>
      </c>
      <c r="V64">
        <v>1</v>
      </c>
      <c r="W64">
        <v>200</v>
      </c>
      <c r="X64">
        <f t="shared" si="0"/>
        <v>200</v>
      </c>
    </row>
    <row r="65" spans="21:24" x14ac:dyDescent="0.35">
      <c r="U65" t="s">
        <v>109</v>
      </c>
      <c r="V65">
        <v>1</v>
      </c>
      <c r="W65">
        <v>200</v>
      </c>
      <c r="X65">
        <f t="shared" si="0"/>
        <v>200</v>
      </c>
    </row>
    <row r="66" spans="21:24" x14ac:dyDescent="0.35">
      <c r="U66" t="s">
        <v>130</v>
      </c>
      <c r="V66">
        <v>1</v>
      </c>
      <c r="W66">
        <v>250</v>
      </c>
      <c r="X66">
        <f t="shared" si="0"/>
        <v>250</v>
      </c>
    </row>
    <row r="67" spans="21:24" x14ac:dyDescent="0.35">
      <c r="U67" t="s">
        <v>137</v>
      </c>
      <c r="V67">
        <v>1</v>
      </c>
      <c r="W67">
        <v>200</v>
      </c>
      <c r="X67">
        <f t="shared" si="0"/>
        <v>200</v>
      </c>
    </row>
    <row r="68" spans="21:24" x14ac:dyDescent="0.35">
      <c r="U68" t="s">
        <v>138</v>
      </c>
      <c r="V68">
        <v>1</v>
      </c>
      <c r="W68">
        <v>100</v>
      </c>
      <c r="X68">
        <f t="shared" si="0"/>
        <v>100</v>
      </c>
    </row>
    <row r="69" spans="21:24" x14ac:dyDescent="0.35">
      <c r="U69" t="s">
        <v>114</v>
      </c>
      <c r="V69">
        <v>1</v>
      </c>
      <c r="W69">
        <v>200</v>
      </c>
      <c r="X69">
        <f t="shared" ref="X69:X95" si="1">V69*W69</f>
        <v>200</v>
      </c>
    </row>
    <row r="70" spans="21:24" x14ac:dyDescent="0.35">
      <c r="U70" t="s">
        <v>109</v>
      </c>
      <c r="V70">
        <v>1</v>
      </c>
      <c r="W70">
        <v>200</v>
      </c>
      <c r="X70">
        <f t="shared" si="1"/>
        <v>200</v>
      </c>
    </row>
    <row r="71" spans="21:24" x14ac:dyDescent="0.35">
      <c r="U71" t="s">
        <v>109</v>
      </c>
      <c r="V71">
        <v>1</v>
      </c>
      <c r="W71">
        <v>200</v>
      </c>
      <c r="X71">
        <f t="shared" si="1"/>
        <v>200</v>
      </c>
    </row>
    <row r="72" spans="21:24" x14ac:dyDescent="0.35">
      <c r="U72" t="s">
        <v>139</v>
      </c>
      <c r="V72">
        <v>1</v>
      </c>
      <c r="W72">
        <v>100</v>
      </c>
      <c r="X72">
        <f t="shared" si="1"/>
        <v>100</v>
      </c>
    </row>
    <row r="73" spans="21:24" x14ac:dyDescent="0.35">
      <c r="U73" t="s">
        <v>130</v>
      </c>
      <c r="V73">
        <v>1</v>
      </c>
      <c r="W73">
        <v>400</v>
      </c>
      <c r="X73">
        <f t="shared" si="1"/>
        <v>400</v>
      </c>
    </row>
    <row r="74" spans="21:24" x14ac:dyDescent="0.35">
      <c r="U74" t="s">
        <v>140</v>
      </c>
      <c r="V74">
        <v>1</v>
      </c>
      <c r="W74">
        <v>25</v>
      </c>
      <c r="X74">
        <f t="shared" si="1"/>
        <v>25</v>
      </c>
    </row>
    <row r="75" spans="21:24" x14ac:dyDescent="0.35">
      <c r="U75" t="s">
        <v>109</v>
      </c>
      <c r="V75">
        <v>1</v>
      </c>
      <c r="W75">
        <v>200</v>
      </c>
      <c r="X75">
        <f t="shared" si="1"/>
        <v>200</v>
      </c>
    </row>
    <row r="76" spans="21:24" x14ac:dyDescent="0.35">
      <c r="U76" t="s">
        <v>131</v>
      </c>
      <c r="V76">
        <v>3</v>
      </c>
      <c r="W76">
        <v>25</v>
      </c>
      <c r="X76">
        <f t="shared" si="1"/>
        <v>75</v>
      </c>
    </row>
    <row r="77" spans="21:24" x14ac:dyDescent="0.35">
      <c r="U77" t="s">
        <v>109</v>
      </c>
      <c r="V77">
        <v>1</v>
      </c>
      <c r="W77">
        <v>200</v>
      </c>
      <c r="X77">
        <f t="shared" si="1"/>
        <v>200</v>
      </c>
    </row>
    <row r="78" spans="21:24" x14ac:dyDescent="0.35">
      <c r="U78" t="s">
        <v>95</v>
      </c>
      <c r="V78">
        <v>1</v>
      </c>
      <c r="W78">
        <v>100</v>
      </c>
      <c r="X78">
        <f t="shared" si="1"/>
        <v>100</v>
      </c>
    </row>
    <row r="79" spans="21:24" x14ac:dyDescent="0.35">
      <c r="U79" t="s">
        <v>109</v>
      </c>
      <c r="V79">
        <v>1</v>
      </c>
      <c r="W79">
        <v>200</v>
      </c>
      <c r="X79">
        <f t="shared" si="1"/>
        <v>200</v>
      </c>
    </row>
    <row r="80" spans="21:24" x14ac:dyDescent="0.35">
      <c r="U80" t="s">
        <v>109</v>
      </c>
      <c r="V80">
        <v>1</v>
      </c>
      <c r="W80">
        <v>200</v>
      </c>
      <c r="X80">
        <f t="shared" si="1"/>
        <v>200</v>
      </c>
    </row>
    <row r="81" spans="21:24" x14ac:dyDescent="0.35">
      <c r="U81" t="s">
        <v>109</v>
      </c>
      <c r="V81">
        <v>1</v>
      </c>
      <c r="W81">
        <v>150</v>
      </c>
      <c r="X81">
        <f t="shared" si="1"/>
        <v>150</v>
      </c>
    </row>
    <row r="82" spans="21:24" x14ac:dyDescent="0.35">
      <c r="U82" t="s">
        <v>141</v>
      </c>
      <c r="V82">
        <v>1</v>
      </c>
      <c r="W82">
        <v>100</v>
      </c>
      <c r="X82">
        <f t="shared" si="1"/>
        <v>100</v>
      </c>
    </row>
    <row r="83" spans="21:24" x14ac:dyDescent="0.35">
      <c r="U83" t="s">
        <v>140</v>
      </c>
      <c r="V83">
        <v>1</v>
      </c>
      <c r="W83">
        <v>25</v>
      </c>
      <c r="X83">
        <f t="shared" si="1"/>
        <v>25</v>
      </c>
    </row>
    <row r="84" spans="21:24" x14ac:dyDescent="0.35">
      <c r="U84" t="s">
        <v>109</v>
      </c>
      <c r="V84">
        <v>1</v>
      </c>
      <c r="W84">
        <v>200</v>
      </c>
      <c r="X84">
        <f t="shared" si="1"/>
        <v>200</v>
      </c>
    </row>
    <row r="85" spans="21:24" x14ac:dyDescent="0.35">
      <c r="U85" t="s">
        <v>142</v>
      </c>
      <c r="V85">
        <v>1</v>
      </c>
      <c r="W85">
        <v>100</v>
      </c>
      <c r="X85">
        <f t="shared" si="1"/>
        <v>100</v>
      </c>
    </row>
    <row r="86" spans="21:24" x14ac:dyDescent="0.35">
      <c r="U86" t="s">
        <v>109</v>
      </c>
      <c r="V86">
        <v>1</v>
      </c>
      <c r="W86">
        <v>200</v>
      </c>
      <c r="X86">
        <f t="shared" si="1"/>
        <v>200</v>
      </c>
    </row>
    <row r="87" spans="21:24" x14ac:dyDescent="0.35">
      <c r="U87" t="s">
        <v>112</v>
      </c>
      <c r="V87">
        <v>1</v>
      </c>
      <c r="W87">
        <v>150</v>
      </c>
      <c r="X87">
        <f t="shared" si="1"/>
        <v>150</v>
      </c>
    </row>
    <row r="88" spans="21:24" x14ac:dyDescent="0.35">
      <c r="U88" t="s">
        <v>109</v>
      </c>
      <c r="V88">
        <v>1</v>
      </c>
      <c r="W88">
        <v>200</v>
      </c>
      <c r="X88">
        <f t="shared" si="1"/>
        <v>200</v>
      </c>
    </row>
    <row r="89" spans="21:24" x14ac:dyDescent="0.35">
      <c r="U89" t="s">
        <v>107</v>
      </c>
      <c r="V89">
        <v>1</v>
      </c>
      <c r="W89">
        <v>150</v>
      </c>
      <c r="X89">
        <f t="shared" si="1"/>
        <v>150</v>
      </c>
    </row>
    <row r="90" spans="21:24" x14ac:dyDescent="0.35">
      <c r="U90" t="s">
        <v>143</v>
      </c>
      <c r="V90">
        <v>1</v>
      </c>
      <c r="W90">
        <v>50</v>
      </c>
      <c r="X90">
        <f t="shared" si="1"/>
        <v>50</v>
      </c>
    </row>
    <row r="91" spans="21:24" x14ac:dyDescent="0.35">
      <c r="U91" t="s">
        <v>140</v>
      </c>
      <c r="V91">
        <v>1</v>
      </c>
      <c r="W91">
        <v>25</v>
      </c>
      <c r="X91">
        <f t="shared" si="1"/>
        <v>25</v>
      </c>
    </row>
    <row r="92" spans="21:24" x14ac:dyDescent="0.35">
      <c r="U92" t="s">
        <v>140</v>
      </c>
      <c r="V92">
        <v>1</v>
      </c>
      <c r="W92">
        <v>25</v>
      </c>
      <c r="X92">
        <f t="shared" si="1"/>
        <v>25</v>
      </c>
    </row>
    <row r="93" spans="21:24" x14ac:dyDescent="0.35">
      <c r="U93" t="s">
        <v>109</v>
      </c>
      <c r="V93">
        <v>2</v>
      </c>
      <c r="W93">
        <v>175</v>
      </c>
      <c r="X93">
        <f t="shared" si="1"/>
        <v>350</v>
      </c>
    </row>
    <row r="94" spans="21:24" x14ac:dyDescent="0.35">
      <c r="U94" t="s">
        <v>144</v>
      </c>
      <c r="V94">
        <v>1</v>
      </c>
      <c r="W94">
        <v>100</v>
      </c>
      <c r="X94">
        <f t="shared" si="1"/>
        <v>100</v>
      </c>
    </row>
    <row r="95" spans="21:24" x14ac:dyDescent="0.35">
      <c r="U95" t="s">
        <v>141</v>
      </c>
      <c r="V95">
        <v>1</v>
      </c>
      <c r="W95">
        <v>50</v>
      </c>
      <c r="X95">
        <f t="shared" si="1"/>
        <v>50</v>
      </c>
    </row>
  </sheetData>
  <mergeCells count="2">
    <mergeCell ref="O2:Q2"/>
    <mergeCell ref="K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C785-0114-4315-BC26-D188779AF4E2}">
  <dimension ref="A2:S48"/>
  <sheetViews>
    <sheetView topLeftCell="A2" workbookViewId="0">
      <selection activeCell="S16" sqref="S16"/>
    </sheetView>
  </sheetViews>
  <sheetFormatPr defaultRowHeight="14.5" x14ac:dyDescent="0.35"/>
  <sheetData>
    <row r="2" spans="1:19" x14ac:dyDescent="0.35">
      <c r="A2" s="16" t="s">
        <v>62</v>
      </c>
      <c r="B2" s="16"/>
      <c r="C2" s="16"/>
      <c r="D2" s="16"/>
      <c r="F2" s="16" t="s">
        <v>63</v>
      </c>
      <c r="G2" s="16"/>
      <c r="H2" s="16"/>
      <c r="I2" s="16"/>
      <c r="K2" s="16" t="s">
        <v>64</v>
      </c>
      <c r="L2" s="16"/>
      <c r="M2" s="16"/>
      <c r="N2" s="16"/>
      <c r="P2" s="16" t="s">
        <v>69</v>
      </c>
      <c r="Q2" s="16"/>
      <c r="R2" s="16"/>
      <c r="S2" s="16"/>
    </row>
    <row r="3" spans="1:19" x14ac:dyDescent="0.35">
      <c r="A3" s="11" t="s">
        <v>91</v>
      </c>
      <c r="B3" s="11" t="s">
        <v>25</v>
      </c>
      <c r="C3" s="11" t="s">
        <v>26</v>
      </c>
      <c r="D3" s="11" t="s">
        <v>27</v>
      </c>
      <c r="F3" s="11" t="s">
        <v>91</v>
      </c>
      <c r="G3" s="11" t="s">
        <v>25</v>
      </c>
      <c r="H3" s="11" t="s">
        <v>26</v>
      </c>
      <c r="I3" s="11" t="s">
        <v>27</v>
      </c>
      <c r="K3" s="11" t="s">
        <v>91</v>
      </c>
      <c r="L3" s="11" t="s">
        <v>25</v>
      </c>
      <c r="M3" s="11" t="s">
        <v>26</v>
      </c>
      <c r="N3" s="11" t="s">
        <v>27</v>
      </c>
      <c r="P3" s="11" t="s">
        <v>91</v>
      </c>
      <c r="Q3" s="11" t="s">
        <v>25</v>
      </c>
      <c r="R3" s="11" t="s">
        <v>26</v>
      </c>
      <c r="S3" s="11" t="s">
        <v>27</v>
      </c>
    </row>
    <row r="4" spans="1:19" x14ac:dyDescent="0.35">
      <c r="A4" s="11" t="s">
        <v>90</v>
      </c>
      <c r="B4" s="11">
        <v>1</v>
      </c>
      <c r="C4" s="11">
        <v>40</v>
      </c>
      <c r="D4" s="11">
        <f>B4*C4</f>
        <v>40</v>
      </c>
      <c r="F4" s="11" t="s">
        <v>104</v>
      </c>
      <c r="G4" s="11">
        <v>1</v>
      </c>
      <c r="H4" s="11">
        <v>100</v>
      </c>
      <c r="I4" s="11">
        <f>G4*H4</f>
        <v>100</v>
      </c>
      <c r="K4" s="11" t="s">
        <v>117</v>
      </c>
      <c r="L4" s="11">
        <v>1</v>
      </c>
      <c r="M4" s="11">
        <v>25</v>
      </c>
      <c r="N4" s="11">
        <f>L4*M4</f>
        <v>25</v>
      </c>
      <c r="P4" s="11" t="s">
        <v>97</v>
      </c>
      <c r="Q4" s="11">
        <v>1</v>
      </c>
      <c r="R4" s="11">
        <v>150</v>
      </c>
      <c r="S4" s="11">
        <f>Q4*R4</f>
        <v>150</v>
      </c>
    </row>
    <row r="5" spans="1:19" x14ac:dyDescent="0.35">
      <c r="A5" s="11" t="s">
        <v>92</v>
      </c>
      <c r="B5" s="11">
        <v>1</v>
      </c>
      <c r="C5" s="11">
        <v>50</v>
      </c>
      <c r="D5" s="11">
        <f t="shared" ref="D5:D19" si="0">B5*C5</f>
        <v>50</v>
      </c>
      <c r="F5" s="11" t="s">
        <v>105</v>
      </c>
      <c r="G5" s="11">
        <v>1</v>
      </c>
      <c r="H5" s="11">
        <v>220</v>
      </c>
      <c r="I5" s="11">
        <f>G5*H5</f>
        <v>220</v>
      </c>
      <c r="K5" s="11" t="s">
        <v>118</v>
      </c>
      <c r="L5" s="11">
        <v>1</v>
      </c>
      <c r="M5" s="11">
        <v>25</v>
      </c>
      <c r="N5" s="11">
        <f>L5*M5</f>
        <v>25</v>
      </c>
      <c r="P5" s="11" t="s">
        <v>126</v>
      </c>
      <c r="Q5" s="11">
        <v>2</v>
      </c>
      <c r="R5" s="11">
        <v>100</v>
      </c>
      <c r="S5" s="11">
        <f>Q5*R5</f>
        <v>200</v>
      </c>
    </row>
    <row r="6" spans="1:19" x14ac:dyDescent="0.35">
      <c r="A6" s="11" t="s">
        <v>93</v>
      </c>
      <c r="B6" s="11">
        <v>1</v>
      </c>
      <c r="C6" s="11">
        <v>50</v>
      </c>
      <c r="D6" s="11">
        <f t="shared" si="0"/>
        <v>50</v>
      </c>
      <c r="F6" s="11" t="s">
        <v>106</v>
      </c>
      <c r="G6" s="11">
        <v>1</v>
      </c>
      <c r="H6" s="11">
        <v>350</v>
      </c>
      <c r="I6" s="11">
        <f>G6*H6</f>
        <v>350</v>
      </c>
      <c r="K6" s="11" t="s">
        <v>97</v>
      </c>
      <c r="L6" s="11">
        <v>1</v>
      </c>
      <c r="M6" s="11">
        <v>150</v>
      </c>
      <c r="N6" s="11">
        <f>L6*M6</f>
        <v>150</v>
      </c>
      <c r="P6" s="11" t="s">
        <v>127</v>
      </c>
      <c r="Q6" s="11">
        <v>1</v>
      </c>
      <c r="R6" s="11">
        <v>200</v>
      </c>
      <c r="S6" s="11">
        <f>Q6*R6</f>
        <v>200</v>
      </c>
    </row>
    <row r="7" spans="1:19" x14ac:dyDescent="0.35">
      <c r="A7" s="11" t="s">
        <v>94</v>
      </c>
      <c r="B7" s="11">
        <v>1</v>
      </c>
      <c r="C7" s="11">
        <v>40</v>
      </c>
      <c r="D7" s="11">
        <f t="shared" si="0"/>
        <v>40</v>
      </c>
      <c r="F7" s="11" t="s">
        <v>107</v>
      </c>
      <c r="G7" s="11">
        <v>1</v>
      </c>
      <c r="H7" s="11">
        <v>180</v>
      </c>
      <c r="I7" s="11">
        <f>G7*H7</f>
        <v>180</v>
      </c>
      <c r="K7" s="11" t="s">
        <v>97</v>
      </c>
      <c r="L7" s="11">
        <v>1</v>
      </c>
      <c r="M7" s="11">
        <v>150</v>
      </c>
      <c r="N7" s="11">
        <f>L7*M7</f>
        <v>150</v>
      </c>
      <c r="P7" s="11" t="s">
        <v>128</v>
      </c>
      <c r="Q7" s="11">
        <v>2</v>
      </c>
      <c r="R7" s="11">
        <v>150</v>
      </c>
      <c r="S7" s="11">
        <f>Q7*R7</f>
        <v>300</v>
      </c>
    </row>
    <row r="8" spans="1:19" x14ac:dyDescent="0.35">
      <c r="A8" s="11" t="s">
        <v>95</v>
      </c>
      <c r="B8" s="11">
        <v>1</v>
      </c>
      <c r="C8" s="11">
        <v>50</v>
      </c>
      <c r="D8" s="11">
        <f t="shared" si="0"/>
        <v>50</v>
      </c>
      <c r="F8" s="11" t="s">
        <v>108</v>
      </c>
      <c r="G8" s="11">
        <v>1</v>
      </c>
      <c r="H8" s="11">
        <v>125</v>
      </c>
      <c r="I8" s="11">
        <f>G8*H8</f>
        <v>125</v>
      </c>
      <c r="K8" s="11" t="s">
        <v>97</v>
      </c>
      <c r="L8" s="11">
        <v>1</v>
      </c>
      <c r="M8" s="11">
        <v>150</v>
      </c>
      <c r="N8" s="11">
        <f>L8*M8</f>
        <v>150</v>
      </c>
      <c r="P8" s="11" t="s">
        <v>129</v>
      </c>
      <c r="Q8" s="11">
        <v>2</v>
      </c>
      <c r="R8" s="11">
        <v>25</v>
      </c>
      <c r="S8" s="11">
        <f>Q8*R8</f>
        <v>50</v>
      </c>
    </row>
    <row r="9" spans="1:19" x14ac:dyDescent="0.35">
      <c r="A9" s="11" t="s">
        <v>96</v>
      </c>
      <c r="B9" s="11">
        <v>1</v>
      </c>
      <c r="C9" s="11">
        <v>50</v>
      </c>
      <c r="D9" s="11">
        <f t="shared" si="0"/>
        <v>50</v>
      </c>
      <c r="F9" s="11" t="s">
        <v>109</v>
      </c>
      <c r="G9" s="11">
        <v>1</v>
      </c>
      <c r="H9" s="11">
        <v>150</v>
      </c>
      <c r="I9" s="11">
        <f>G9*H9</f>
        <v>150</v>
      </c>
      <c r="K9" s="11" t="s">
        <v>97</v>
      </c>
      <c r="L9" s="11">
        <v>1</v>
      </c>
      <c r="M9" s="11">
        <v>150</v>
      </c>
      <c r="N9" s="11">
        <f>L9*M9</f>
        <v>150</v>
      </c>
      <c r="P9" s="11" t="s">
        <v>130</v>
      </c>
      <c r="Q9" s="11">
        <v>1</v>
      </c>
      <c r="R9" s="11">
        <v>400</v>
      </c>
      <c r="S9" s="11">
        <f>Q9*R9</f>
        <v>400</v>
      </c>
    </row>
    <row r="10" spans="1:19" x14ac:dyDescent="0.35">
      <c r="A10" s="11" t="s">
        <v>97</v>
      </c>
      <c r="B10" s="11">
        <v>1</v>
      </c>
      <c r="C10" s="11">
        <v>150</v>
      </c>
      <c r="D10" s="11">
        <f t="shared" si="0"/>
        <v>150</v>
      </c>
      <c r="F10" s="11" t="s">
        <v>109</v>
      </c>
      <c r="G10" s="11">
        <v>1</v>
      </c>
      <c r="H10" s="11">
        <v>150</v>
      </c>
      <c r="I10" s="11">
        <f>G10*H10</f>
        <v>150</v>
      </c>
      <c r="K10" s="11" t="s">
        <v>97</v>
      </c>
      <c r="L10" s="11">
        <v>1</v>
      </c>
      <c r="M10" s="11">
        <v>150</v>
      </c>
      <c r="N10" s="11">
        <f>L10*M10</f>
        <v>150</v>
      </c>
      <c r="P10" s="11" t="s">
        <v>108</v>
      </c>
      <c r="Q10" s="11">
        <v>2</v>
      </c>
      <c r="R10" s="11">
        <v>100</v>
      </c>
      <c r="S10" s="11">
        <f>Q10*R10</f>
        <v>200</v>
      </c>
    </row>
    <row r="11" spans="1:19" x14ac:dyDescent="0.35">
      <c r="A11" s="11" t="s">
        <v>97</v>
      </c>
      <c r="B11" s="11">
        <v>1</v>
      </c>
      <c r="C11" s="11">
        <v>140</v>
      </c>
      <c r="D11" s="11">
        <f t="shared" si="0"/>
        <v>140</v>
      </c>
      <c r="F11" s="11" t="s">
        <v>110</v>
      </c>
      <c r="G11" s="11">
        <v>1</v>
      </c>
      <c r="H11" s="11">
        <v>400</v>
      </c>
      <c r="I11" s="11">
        <f>G11*H11</f>
        <v>400</v>
      </c>
      <c r="K11" s="11" t="s">
        <v>119</v>
      </c>
      <c r="L11" s="11">
        <v>1</v>
      </c>
      <c r="M11" s="11">
        <v>200</v>
      </c>
      <c r="N11" s="11">
        <f>L11*M11</f>
        <v>200</v>
      </c>
      <c r="P11" s="11" t="s">
        <v>97</v>
      </c>
      <c r="Q11" s="11">
        <v>2</v>
      </c>
      <c r="R11" s="11">
        <v>175</v>
      </c>
      <c r="S11" s="11">
        <f>Q11*R11</f>
        <v>350</v>
      </c>
    </row>
    <row r="12" spans="1:19" x14ac:dyDescent="0.35">
      <c r="A12" s="11" t="s">
        <v>98</v>
      </c>
      <c r="B12" s="11">
        <v>1</v>
      </c>
      <c r="C12" s="11">
        <v>100</v>
      </c>
      <c r="D12" s="11">
        <f t="shared" si="0"/>
        <v>100</v>
      </c>
      <c r="F12" s="11" t="s">
        <v>111</v>
      </c>
      <c r="G12" s="11">
        <v>1</v>
      </c>
      <c r="H12" s="11">
        <v>25</v>
      </c>
      <c r="I12" s="11">
        <f>G12*H12</f>
        <v>25</v>
      </c>
      <c r="K12" s="11" t="s">
        <v>120</v>
      </c>
      <c r="L12" s="11">
        <v>1</v>
      </c>
      <c r="M12" s="11">
        <v>250</v>
      </c>
      <c r="N12" s="11">
        <f>L12*M12</f>
        <v>250</v>
      </c>
      <c r="P12" s="11" t="s">
        <v>131</v>
      </c>
      <c r="Q12" s="11">
        <v>4</v>
      </c>
      <c r="R12" s="11">
        <v>25</v>
      </c>
      <c r="S12" s="11">
        <f>Q12*R12</f>
        <v>100</v>
      </c>
    </row>
    <row r="13" spans="1:19" x14ac:dyDescent="0.35">
      <c r="A13" s="11" t="s">
        <v>99</v>
      </c>
      <c r="B13" s="11">
        <v>1</v>
      </c>
      <c r="C13" s="11">
        <v>100</v>
      </c>
      <c r="D13" s="11">
        <f t="shared" si="0"/>
        <v>100</v>
      </c>
      <c r="F13" s="11" t="s">
        <v>112</v>
      </c>
      <c r="G13" s="11">
        <v>1</v>
      </c>
      <c r="H13" s="11">
        <v>150</v>
      </c>
      <c r="I13" s="11">
        <f>G13*H13</f>
        <v>150</v>
      </c>
      <c r="K13" s="11" t="s">
        <v>121</v>
      </c>
      <c r="L13" s="11">
        <v>1</v>
      </c>
      <c r="M13" s="11">
        <v>150</v>
      </c>
      <c r="N13" s="11">
        <f>L13*M13</f>
        <v>150</v>
      </c>
      <c r="P13" s="11" t="s">
        <v>132</v>
      </c>
      <c r="Q13" s="11">
        <v>1</v>
      </c>
      <c r="R13" s="11">
        <v>150</v>
      </c>
      <c r="S13" s="11">
        <f>Q13*R13</f>
        <v>150</v>
      </c>
    </row>
    <row r="14" spans="1:19" x14ac:dyDescent="0.35">
      <c r="A14" s="11" t="s">
        <v>100</v>
      </c>
      <c r="B14" s="11">
        <v>1</v>
      </c>
      <c r="C14" s="11">
        <v>100</v>
      </c>
      <c r="D14" s="11">
        <f t="shared" si="0"/>
        <v>100</v>
      </c>
      <c r="F14" s="11" t="s">
        <v>113</v>
      </c>
      <c r="G14" s="11">
        <v>1</v>
      </c>
      <c r="H14" s="11">
        <v>900</v>
      </c>
      <c r="I14" s="11">
        <f>G14*H14</f>
        <v>900</v>
      </c>
      <c r="K14" s="11" t="s">
        <v>122</v>
      </c>
      <c r="L14" s="11">
        <v>1</v>
      </c>
      <c r="M14" s="11">
        <v>150</v>
      </c>
      <c r="N14" s="11">
        <f>L14*M14</f>
        <v>150</v>
      </c>
      <c r="P14" s="11" t="s">
        <v>133</v>
      </c>
      <c r="Q14" s="11">
        <v>1</v>
      </c>
      <c r="R14" s="11">
        <v>190</v>
      </c>
      <c r="S14" s="11">
        <f>Q14*R14</f>
        <v>190</v>
      </c>
    </row>
    <row r="15" spans="1:19" x14ac:dyDescent="0.35">
      <c r="A15" s="11" t="s">
        <v>101</v>
      </c>
      <c r="B15" s="11">
        <v>1</v>
      </c>
      <c r="C15" s="11">
        <v>200</v>
      </c>
      <c r="D15" s="11">
        <f t="shared" si="0"/>
        <v>200</v>
      </c>
      <c r="F15" s="11" t="s">
        <v>114</v>
      </c>
      <c r="G15" s="11">
        <v>1</v>
      </c>
      <c r="H15" s="11">
        <v>180</v>
      </c>
      <c r="I15" s="11">
        <f>G15*H15</f>
        <v>180</v>
      </c>
      <c r="K15" s="11" t="s">
        <v>123</v>
      </c>
      <c r="L15" s="11">
        <v>2</v>
      </c>
      <c r="M15" s="11">
        <v>100</v>
      </c>
      <c r="N15" s="11">
        <f>L15*M15</f>
        <v>200</v>
      </c>
      <c r="P15" s="11" t="s">
        <v>135</v>
      </c>
      <c r="Q15" s="11">
        <v>1</v>
      </c>
      <c r="R15" s="11">
        <v>100</v>
      </c>
      <c r="S15" s="11">
        <f>Q15*R15</f>
        <v>100</v>
      </c>
    </row>
    <row r="16" spans="1:19" x14ac:dyDescent="0.35">
      <c r="A16" s="11" t="s">
        <v>102</v>
      </c>
      <c r="B16" s="11">
        <v>1</v>
      </c>
      <c r="C16" s="11">
        <v>200</v>
      </c>
      <c r="D16" s="11">
        <f t="shared" si="0"/>
        <v>200</v>
      </c>
      <c r="F16" s="11" t="s">
        <v>115</v>
      </c>
      <c r="G16" s="11">
        <v>1</v>
      </c>
      <c r="H16" s="11">
        <v>100</v>
      </c>
      <c r="I16" s="11">
        <f>G16*H16</f>
        <v>100</v>
      </c>
      <c r="K16" s="11" t="s">
        <v>123</v>
      </c>
      <c r="L16" s="11">
        <v>2</v>
      </c>
      <c r="M16" s="11">
        <v>100</v>
      </c>
      <c r="N16" s="11">
        <f>L16*M16</f>
        <v>200</v>
      </c>
      <c r="P16" s="11" t="s">
        <v>136</v>
      </c>
      <c r="Q16" s="11">
        <v>1</v>
      </c>
      <c r="R16" s="11">
        <v>150</v>
      </c>
      <c r="S16" s="11">
        <f>Q16*R16</f>
        <v>150</v>
      </c>
    </row>
    <row r="17" spans="1:19" x14ac:dyDescent="0.35">
      <c r="A17" s="11" t="s">
        <v>103</v>
      </c>
      <c r="B17" s="11">
        <v>1</v>
      </c>
      <c r="C17" s="11">
        <v>150</v>
      </c>
      <c r="D17" s="11">
        <f t="shared" si="0"/>
        <v>150</v>
      </c>
      <c r="F17" s="11" t="s">
        <v>116</v>
      </c>
      <c r="G17" s="11">
        <v>1</v>
      </c>
      <c r="H17" s="11">
        <v>280</v>
      </c>
      <c r="I17" s="11">
        <f>G17*H17</f>
        <v>280</v>
      </c>
      <c r="K17" s="11" t="s">
        <v>124</v>
      </c>
      <c r="L17" s="11">
        <v>1</v>
      </c>
      <c r="M17" s="11">
        <v>225</v>
      </c>
      <c r="N17" s="11">
        <f>L17*M17</f>
        <v>225</v>
      </c>
      <c r="P17" s="11" t="s">
        <v>109</v>
      </c>
      <c r="Q17" s="11">
        <v>1</v>
      </c>
      <c r="R17" s="11">
        <v>200</v>
      </c>
      <c r="S17" s="11">
        <f>Q17*R17</f>
        <v>200</v>
      </c>
    </row>
    <row r="18" spans="1:19" x14ac:dyDescent="0.35">
      <c r="A18" s="11" t="s">
        <v>97</v>
      </c>
      <c r="B18" s="11">
        <v>1</v>
      </c>
      <c r="C18" s="11">
        <v>150</v>
      </c>
      <c r="D18" s="11">
        <f t="shared" si="0"/>
        <v>150</v>
      </c>
      <c r="I18">
        <f>G18*H18</f>
        <v>0</v>
      </c>
      <c r="K18" s="11" t="s">
        <v>125</v>
      </c>
      <c r="L18" s="11">
        <v>1</v>
      </c>
      <c r="M18" s="11">
        <v>250</v>
      </c>
      <c r="N18" s="11">
        <f>L18*M18</f>
        <v>250</v>
      </c>
      <c r="P18" s="11" t="s">
        <v>109</v>
      </c>
      <c r="Q18" s="11">
        <v>1</v>
      </c>
      <c r="R18" s="11">
        <v>200</v>
      </c>
      <c r="S18" s="11">
        <f>Q18*R18</f>
        <v>200</v>
      </c>
    </row>
    <row r="19" spans="1:19" x14ac:dyDescent="0.35">
      <c r="D19">
        <f t="shared" si="0"/>
        <v>0</v>
      </c>
      <c r="N19">
        <f>L19*M19</f>
        <v>0</v>
      </c>
      <c r="P19" s="11" t="s">
        <v>130</v>
      </c>
      <c r="Q19" s="11">
        <v>1</v>
      </c>
      <c r="R19" s="11">
        <v>250</v>
      </c>
      <c r="S19" s="11">
        <f>Q19*R19</f>
        <v>250</v>
      </c>
    </row>
    <row r="20" spans="1:19" x14ac:dyDescent="0.35">
      <c r="P20" s="11" t="s">
        <v>137</v>
      </c>
      <c r="Q20" s="11">
        <v>1</v>
      </c>
      <c r="R20" s="11">
        <v>200</v>
      </c>
      <c r="S20" s="11">
        <f>Q20*R20</f>
        <v>200</v>
      </c>
    </row>
    <row r="21" spans="1:19" x14ac:dyDescent="0.35">
      <c r="P21" s="11" t="s">
        <v>138</v>
      </c>
      <c r="Q21" s="11">
        <v>1</v>
      </c>
      <c r="R21" s="11">
        <v>100</v>
      </c>
      <c r="S21" s="11">
        <f>Q21*R21</f>
        <v>100</v>
      </c>
    </row>
    <row r="22" spans="1:19" x14ac:dyDescent="0.35">
      <c r="P22" s="11" t="s">
        <v>114</v>
      </c>
      <c r="Q22" s="11">
        <v>1</v>
      </c>
      <c r="R22" s="11">
        <v>200</v>
      </c>
      <c r="S22" s="11">
        <f t="shared" ref="S22:S48" si="1">Q22*R22</f>
        <v>200</v>
      </c>
    </row>
    <row r="23" spans="1:19" x14ac:dyDescent="0.35">
      <c r="P23" s="11" t="s">
        <v>109</v>
      </c>
      <c r="Q23" s="11">
        <v>1</v>
      </c>
      <c r="R23" s="11">
        <v>200</v>
      </c>
      <c r="S23" s="11">
        <f t="shared" si="1"/>
        <v>200</v>
      </c>
    </row>
    <row r="24" spans="1:19" x14ac:dyDescent="0.35">
      <c r="P24" s="11" t="s">
        <v>109</v>
      </c>
      <c r="Q24" s="11">
        <v>1</v>
      </c>
      <c r="R24" s="11">
        <v>200</v>
      </c>
      <c r="S24" s="11">
        <f t="shared" si="1"/>
        <v>200</v>
      </c>
    </row>
    <row r="25" spans="1:19" x14ac:dyDescent="0.35">
      <c r="P25" s="11" t="s">
        <v>139</v>
      </c>
      <c r="Q25" s="11">
        <v>1</v>
      </c>
      <c r="R25" s="11">
        <v>100</v>
      </c>
      <c r="S25" s="11">
        <f t="shared" si="1"/>
        <v>100</v>
      </c>
    </row>
    <row r="26" spans="1:19" x14ac:dyDescent="0.35">
      <c r="P26" s="11" t="s">
        <v>130</v>
      </c>
      <c r="Q26" s="11">
        <v>1</v>
      </c>
      <c r="R26" s="11">
        <v>400</v>
      </c>
      <c r="S26" s="11">
        <f t="shared" si="1"/>
        <v>400</v>
      </c>
    </row>
    <row r="27" spans="1:19" x14ac:dyDescent="0.35">
      <c r="P27" s="11" t="s">
        <v>140</v>
      </c>
      <c r="Q27" s="11">
        <v>1</v>
      </c>
      <c r="R27" s="11">
        <v>25</v>
      </c>
      <c r="S27" s="11">
        <f t="shared" si="1"/>
        <v>25</v>
      </c>
    </row>
    <row r="28" spans="1:19" x14ac:dyDescent="0.35">
      <c r="P28" s="11" t="s">
        <v>109</v>
      </c>
      <c r="Q28" s="11">
        <v>1</v>
      </c>
      <c r="R28" s="11">
        <v>200</v>
      </c>
      <c r="S28" s="11">
        <f t="shared" si="1"/>
        <v>200</v>
      </c>
    </row>
    <row r="29" spans="1:19" x14ac:dyDescent="0.35">
      <c r="P29" s="11" t="s">
        <v>131</v>
      </c>
      <c r="Q29" s="11">
        <v>3</v>
      </c>
      <c r="R29" s="11">
        <v>25</v>
      </c>
      <c r="S29" s="11">
        <f t="shared" si="1"/>
        <v>75</v>
      </c>
    </row>
    <row r="30" spans="1:19" x14ac:dyDescent="0.35">
      <c r="P30" s="11" t="s">
        <v>109</v>
      </c>
      <c r="Q30" s="11">
        <v>1</v>
      </c>
      <c r="R30" s="11">
        <v>200</v>
      </c>
      <c r="S30" s="11">
        <f t="shared" si="1"/>
        <v>200</v>
      </c>
    </row>
    <row r="31" spans="1:19" x14ac:dyDescent="0.35">
      <c r="P31" s="11" t="s">
        <v>95</v>
      </c>
      <c r="Q31" s="11">
        <v>1</v>
      </c>
      <c r="R31" s="11">
        <v>100</v>
      </c>
      <c r="S31" s="11">
        <f t="shared" si="1"/>
        <v>100</v>
      </c>
    </row>
    <row r="32" spans="1:19" x14ac:dyDescent="0.35">
      <c r="P32" s="11" t="s">
        <v>109</v>
      </c>
      <c r="Q32" s="11">
        <v>1</v>
      </c>
      <c r="R32" s="11">
        <v>200</v>
      </c>
      <c r="S32" s="11">
        <f t="shared" si="1"/>
        <v>200</v>
      </c>
    </row>
    <row r="33" spans="16:19" x14ac:dyDescent="0.35">
      <c r="P33" s="11" t="s">
        <v>109</v>
      </c>
      <c r="Q33" s="11">
        <v>1</v>
      </c>
      <c r="R33" s="11">
        <v>200</v>
      </c>
      <c r="S33" s="11">
        <f t="shared" si="1"/>
        <v>200</v>
      </c>
    </row>
    <row r="34" spans="16:19" x14ac:dyDescent="0.35">
      <c r="P34" s="11" t="s">
        <v>109</v>
      </c>
      <c r="Q34" s="11">
        <v>1</v>
      </c>
      <c r="R34" s="11">
        <v>150</v>
      </c>
      <c r="S34" s="11">
        <f t="shared" si="1"/>
        <v>150</v>
      </c>
    </row>
    <row r="35" spans="16:19" x14ac:dyDescent="0.35">
      <c r="P35" s="11" t="s">
        <v>141</v>
      </c>
      <c r="Q35" s="11">
        <v>1</v>
      </c>
      <c r="R35" s="11">
        <v>100</v>
      </c>
      <c r="S35" s="11">
        <f t="shared" si="1"/>
        <v>100</v>
      </c>
    </row>
    <row r="36" spans="16:19" x14ac:dyDescent="0.35">
      <c r="P36" s="11" t="s">
        <v>140</v>
      </c>
      <c r="Q36" s="11">
        <v>1</v>
      </c>
      <c r="R36" s="11">
        <v>25</v>
      </c>
      <c r="S36" s="11">
        <f t="shared" si="1"/>
        <v>25</v>
      </c>
    </row>
    <row r="37" spans="16:19" x14ac:dyDescent="0.35">
      <c r="P37" s="11" t="s">
        <v>109</v>
      </c>
      <c r="Q37" s="11">
        <v>1</v>
      </c>
      <c r="R37" s="11">
        <v>200</v>
      </c>
      <c r="S37" s="11">
        <f t="shared" si="1"/>
        <v>200</v>
      </c>
    </row>
    <row r="38" spans="16:19" x14ac:dyDescent="0.35">
      <c r="P38" s="11" t="s">
        <v>142</v>
      </c>
      <c r="Q38" s="11">
        <v>1</v>
      </c>
      <c r="R38" s="11">
        <v>100</v>
      </c>
      <c r="S38" s="11">
        <f t="shared" si="1"/>
        <v>100</v>
      </c>
    </row>
    <row r="39" spans="16:19" x14ac:dyDescent="0.35">
      <c r="P39" s="11" t="s">
        <v>109</v>
      </c>
      <c r="Q39" s="11">
        <v>1</v>
      </c>
      <c r="R39" s="11">
        <v>200</v>
      </c>
      <c r="S39" s="11">
        <f t="shared" si="1"/>
        <v>200</v>
      </c>
    </row>
    <row r="40" spans="16:19" x14ac:dyDescent="0.35">
      <c r="P40" s="11" t="s">
        <v>112</v>
      </c>
      <c r="Q40" s="11">
        <v>1</v>
      </c>
      <c r="R40" s="11">
        <v>150</v>
      </c>
      <c r="S40" s="11">
        <f t="shared" si="1"/>
        <v>150</v>
      </c>
    </row>
    <row r="41" spans="16:19" x14ac:dyDescent="0.35">
      <c r="P41" s="11" t="s">
        <v>109</v>
      </c>
      <c r="Q41" s="11">
        <v>1</v>
      </c>
      <c r="R41" s="11">
        <v>200</v>
      </c>
      <c r="S41" s="11">
        <f t="shared" si="1"/>
        <v>200</v>
      </c>
    </row>
    <row r="42" spans="16:19" x14ac:dyDescent="0.35">
      <c r="P42" s="11" t="s">
        <v>107</v>
      </c>
      <c r="Q42" s="11">
        <v>1</v>
      </c>
      <c r="R42" s="11">
        <v>150</v>
      </c>
      <c r="S42" s="11">
        <f t="shared" si="1"/>
        <v>150</v>
      </c>
    </row>
    <row r="43" spans="16:19" x14ac:dyDescent="0.35">
      <c r="P43" s="11" t="s">
        <v>143</v>
      </c>
      <c r="Q43" s="11">
        <v>1</v>
      </c>
      <c r="R43" s="11">
        <v>50</v>
      </c>
      <c r="S43" s="11">
        <f t="shared" si="1"/>
        <v>50</v>
      </c>
    </row>
    <row r="44" spans="16:19" x14ac:dyDescent="0.35">
      <c r="P44" s="11" t="s">
        <v>140</v>
      </c>
      <c r="Q44" s="11">
        <v>1</v>
      </c>
      <c r="R44" s="11">
        <v>25</v>
      </c>
      <c r="S44" s="11">
        <f t="shared" si="1"/>
        <v>25</v>
      </c>
    </row>
    <row r="45" spans="16:19" x14ac:dyDescent="0.35">
      <c r="P45" s="11" t="s">
        <v>140</v>
      </c>
      <c r="Q45" s="11">
        <v>1</v>
      </c>
      <c r="R45" s="11">
        <v>25</v>
      </c>
      <c r="S45" s="11">
        <f t="shared" si="1"/>
        <v>25</v>
      </c>
    </row>
    <row r="46" spans="16:19" x14ac:dyDescent="0.35">
      <c r="P46" s="11" t="s">
        <v>109</v>
      </c>
      <c r="Q46" s="11">
        <v>2</v>
      </c>
      <c r="R46" s="11">
        <v>175</v>
      </c>
      <c r="S46" s="11">
        <f t="shared" si="1"/>
        <v>350</v>
      </c>
    </row>
    <row r="47" spans="16:19" x14ac:dyDescent="0.35">
      <c r="P47" s="11" t="s">
        <v>144</v>
      </c>
      <c r="Q47" s="11">
        <v>1</v>
      </c>
      <c r="R47" s="11">
        <v>100</v>
      </c>
      <c r="S47" s="11">
        <f t="shared" si="1"/>
        <v>100</v>
      </c>
    </row>
    <row r="48" spans="16:19" x14ac:dyDescent="0.35">
      <c r="P48" s="11" t="s">
        <v>141</v>
      </c>
      <c r="Q48" s="11">
        <v>1</v>
      </c>
      <c r="R48" s="11">
        <v>50</v>
      </c>
      <c r="S48" s="11">
        <f t="shared" si="1"/>
        <v>50</v>
      </c>
    </row>
  </sheetData>
  <mergeCells count="4">
    <mergeCell ref="A2:D2"/>
    <mergeCell ref="F2:I2"/>
    <mergeCell ref="K2:N2"/>
    <mergeCell ref="P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DA08-44FA-4BAE-8538-89F064DC13E1}">
  <dimension ref="B2:D3"/>
  <sheetViews>
    <sheetView workbookViewId="0">
      <selection activeCell="E6" sqref="E6"/>
    </sheetView>
  </sheetViews>
  <sheetFormatPr defaultRowHeight="14.5" x14ac:dyDescent="0.35"/>
  <cols>
    <col min="2" max="2" width="13.36328125" bestFit="1" customWidth="1"/>
    <col min="4" max="4" width="10.08984375" bestFit="1" customWidth="1"/>
  </cols>
  <sheetData>
    <row r="2" spans="2:4" x14ac:dyDescent="0.35">
      <c r="B2" t="s">
        <v>39</v>
      </c>
    </row>
    <row r="3" spans="2:4" x14ac:dyDescent="0.35">
      <c r="B3" t="s">
        <v>88</v>
      </c>
      <c r="C3">
        <v>3230</v>
      </c>
      <c r="D3" s="9">
        <v>46026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454C-2F9E-434B-BD62-3256C661AAB5}">
  <dimension ref="A2:V35"/>
  <sheetViews>
    <sheetView topLeftCell="F1" workbookViewId="0">
      <selection activeCell="B9" sqref="B9"/>
    </sheetView>
  </sheetViews>
  <sheetFormatPr defaultRowHeight="14.5" x14ac:dyDescent="0.35"/>
  <cols>
    <col min="1" max="1" width="12" style="1" bestFit="1" customWidth="1"/>
    <col min="2" max="2" width="3.7265625" style="1" bestFit="1" customWidth="1"/>
    <col min="3" max="3" width="10.54296875" style="1" bestFit="1" customWidth="1"/>
    <col min="4" max="4" width="12.90625" style="1" bestFit="1" customWidth="1"/>
    <col min="5" max="5" width="12.08984375" style="1" bestFit="1" customWidth="1"/>
    <col min="6" max="6" width="12.90625" style="1" bestFit="1" customWidth="1"/>
    <col min="7" max="7" width="8.7265625" style="1"/>
    <col min="8" max="8" width="15.1796875" style="1" bestFit="1" customWidth="1"/>
    <col min="9" max="9" width="13.36328125" style="1" bestFit="1" customWidth="1"/>
    <col min="10" max="10" width="5.453125" style="1" bestFit="1" customWidth="1"/>
    <col min="11" max="11" width="10.453125" style="1" bestFit="1" customWidth="1"/>
    <col min="12" max="12" width="9.54296875" style="1" bestFit="1" customWidth="1"/>
    <col min="13" max="13" width="9.08984375" style="1" customWidth="1"/>
    <col min="14" max="14" width="9.54296875" style="1" bestFit="1" customWidth="1"/>
    <col min="15" max="15" width="8.90625" style="1" customWidth="1"/>
    <col min="16" max="16" width="9.54296875" style="1" bestFit="1" customWidth="1"/>
    <col min="17" max="17" width="8.7265625" style="1"/>
    <col min="18" max="18" width="9.54296875" style="1" bestFit="1" customWidth="1"/>
    <col min="19" max="20" width="9.81640625" style="1" bestFit="1" customWidth="1"/>
    <col min="21" max="16384" width="8.7265625" style="1"/>
  </cols>
  <sheetData>
    <row r="2" spans="1:22" x14ac:dyDescent="0.35">
      <c r="A2" s="19" t="s">
        <v>23</v>
      </c>
      <c r="B2" s="21"/>
      <c r="C2" s="21"/>
      <c r="D2" s="21"/>
      <c r="E2" s="21"/>
      <c r="F2" s="20"/>
      <c r="H2" s="6"/>
      <c r="I2" s="7"/>
      <c r="J2" s="7"/>
      <c r="K2" s="19" t="s">
        <v>21</v>
      </c>
      <c r="L2" s="20"/>
      <c r="M2" s="19" t="s">
        <v>32</v>
      </c>
      <c r="N2" s="20"/>
      <c r="O2" s="19" t="s">
        <v>38</v>
      </c>
      <c r="P2" s="20"/>
      <c r="Q2" s="21" t="s">
        <v>22</v>
      </c>
      <c r="R2" s="20"/>
    </row>
    <row r="3" spans="1:22" x14ac:dyDescent="0.35">
      <c r="A3" s="4" t="s">
        <v>24</v>
      </c>
      <c r="B3" s="4" t="s">
        <v>25</v>
      </c>
      <c r="C3" s="4" t="s">
        <v>28</v>
      </c>
      <c r="D3" s="4" t="s">
        <v>29</v>
      </c>
      <c r="E3" s="4" t="s">
        <v>30</v>
      </c>
      <c r="F3" s="5" t="s">
        <v>31</v>
      </c>
      <c r="H3" s="4" t="s">
        <v>35</v>
      </c>
      <c r="I3" s="5" t="s">
        <v>36</v>
      </c>
      <c r="J3" s="4" t="s">
        <v>25</v>
      </c>
      <c r="K3" s="4" t="s">
        <v>33</v>
      </c>
      <c r="L3" s="4" t="s">
        <v>34</v>
      </c>
      <c r="M3" s="4" t="s">
        <v>33</v>
      </c>
      <c r="N3" s="4" t="s">
        <v>34</v>
      </c>
      <c r="O3" s="5" t="s">
        <v>26</v>
      </c>
      <c r="P3" s="5" t="s">
        <v>27</v>
      </c>
      <c r="Q3" s="4" t="s">
        <v>33</v>
      </c>
      <c r="R3" s="4" t="s">
        <v>34</v>
      </c>
    </row>
    <row r="4" spans="1:22" x14ac:dyDescent="0.35">
      <c r="A4" s="4" t="s">
        <v>54</v>
      </c>
      <c r="B4" s="4">
        <v>1</v>
      </c>
      <c r="C4" s="4">
        <v>300</v>
      </c>
      <c r="D4" s="4">
        <v>250</v>
      </c>
      <c r="E4" s="4">
        <f t="shared" ref="E4:E10" si="0">B4*C4</f>
        <v>300</v>
      </c>
      <c r="F4" s="4">
        <f>B4*D4</f>
        <v>250</v>
      </c>
      <c r="H4" s="4" t="s">
        <v>55</v>
      </c>
      <c r="I4" s="4">
        <v>1499</v>
      </c>
      <c r="J4" s="4">
        <v>1</v>
      </c>
      <c r="K4" s="4">
        <f>SUM(E29:E40)</f>
        <v>1110</v>
      </c>
      <c r="L4" s="4">
        <f>SUM(F29:F40)</f>
        <v>582</v>
      </c>
      <c r="M4" s="4">
        <f>J4*K4</f>
        <v>1110</v>
      </c>
      <c r="N4" s="4">
        <f>J4*L4</f>
        <v>582</v>
      </c>
      <c r="O4" s="4">
        <v>0</v>
      </c>
      <c r="P4" s="4">
        <f>J4*O4</f>
        <v>0</v>
      </c>
      <c r="Q4" s="4">
        <f>((I4*J4)-M4)-P4</f>
        <v>389</v>
      </c>
      <c r="R4" s="4">
        <f>((I4*J4)-N4)-P4</f>
        <v>917</v>
      </c>
      <c r="S4" s="10">
        <f>(I4-K4)/K4</f>
        <v>0.35045045045045042</v>
      </c>
      <c r="T4" s="14"/>
      <c r="V4" s="13"/>
    </row>
    <row r="5" spans="1:22" x14ac:dyDescent="0.35">
      <c r="A5" s="4" t="s">
        <v>15</v>
      </c>
      <c r="B5" s="4">
        <v>0</v>
      </c>
      <c r="C5" s="4">
        <v>10</v>
      </c>
      <c r="D5" s="4">
        <v>2</v>
      </c>
      <c r="E5" s="4">
        <f t="shared" si="0"/>
        <v>0</v>
      </c>
      <c r="F5" s="4">
        <f t="shared" ref="F5:F10" si="1">B5*D5</f>
        <v>0</v>
      </c>
      <c r="H5" s="4" t="s">
        <v>23</v>
      </c>
      <c r="I5" s="4">
        <v>1999</v>
      </c>
      <c r="J5" s="4">
        <v>1</v>
      </c>
      <c r="K5" s="4">
        <f>SUM(E4:E15)</f>
        <v>855</v>
      </c>
      <c r="L5" s="4">
        <f>SUM(F4:F15)</f>
        <v>735</v>
      </c>
      <c r="M5" s="4">
        <f>J5*K5</f>
        <v>855</v>
      </c>
      <c r="N5" s="4">
        <f>J5*L5</f>
        <v>735</v>
      </c>
      <c r="O5" s="4">
        <v>0</v>
      </c>
      <c r="P5" s="4">
        <f>J5*O5</f>
        <v>0</v>
      </c>
      <c r="Q5" s="4">
        <f>((I5*J5)-M5)-P5</f>
        <v>1144</v>
      </c>
      <c r="R5" s="4">
        <f>((I5*J5)-N5)-P5</f>
        <v>1264</v>
      </c>
      <c r="S5" s="10">
        <f>(I5-K5)/K5</f>
        <v>1.3380116959064328</v>
      </c>
    </row>
    <row r="6" spans="1:22" x14ac:dyDescent="0.35">
      <c r="A6" s="4" t="s">
        <v>16</v>
      </c>
      <c r="B6" s="4">
        <v>1</v>
      </c>
      <c r="C6" s="4">
        <v>150</v>
      </c>
      <c r="D6" s="4">
        <v>80</v>
      </c>
      <c r="E6" s="4">
        <f t="shared" si="0"/>
        <v>150</v>
      </c>
      <c r="F6" s="4">
        <f t="shared" si="1"/>
        <v>80</v>
      </c>
      <c r="H6" s="4" t="s">
        <v>37</v>
      </c>
      <c r="I6" s="4">
        <v>2499</v>
      </c>
      <c r="J6" s="4">
        <v>1</v>
      </c>
      <c r="K6" s="4">
        <f>SUM(E18:E24)</f>
        <v>1340</v>
      </c>
      <c r="L6" s="4">
        <f>SUM(F18:F24)</f>
        <v>1426</v>
      </c>
      <c r="M6" s="4">
        <f>J6*K6</f>
        <v>1340</v>
      </c>
      <c r="N6" s="4">
        <f>J6*L6</f>
        <v>1426</v>
      </c>
      <c r="O6" s="4">
        <v>0</v>
      </c>
      <c r="P6" s="4">
        <f>J6*O6</f>
        <v>0</v>
      </c>
      <c r="Q6" s="4">
        <f>((I6*J6)-M6)-P6</f>
        <v>1159</v>
      </c>
      <c r="R6" s="4">
        <f>((I6*J6)-N6)-P6</f>
        <v>1073</v>
      </c>
      <c r="S6" s="10">
        <f>(I6-K6)/K6</f>
        <v>0.86492537313432838</v>
      </c>
    </row>
    <row r="7" spans="1:22" x14ac:dyDescent="0.35">
      <c r="A7" s="4" t="s">
        <v>17</v>
      </c>
      <c r="B7" s="4">
        <v>1</v>
      </c>
      <c r="C7" s="4">
        <v>250</v>
      </c>
      <c r="D7" s="4">
        <v>250</v>
      </c>
      <c r="E7" s="4">
        <f t="shared" si="0"/>
        <v>250</v>
      </c>
      <c r="F7" s="4">
        <f t="shared" si="1"/>
        <v>250</v>
      </c>
    </row>
    <row r="8" spans="1:22" x14ac:dyDescent="0.35">
      <c r="A8" s="4" t="s">
        <v>18</v>
      </c>
      <c r="B8" s="4">
        <v>0</v>
      </c>
      <c r="C8" s="4">
        <v>125</v>
      </c>
      <c r="D8" s="4">
        <v>125</v>
      </c>
      <c r="E8" s="4">
        <f t="shared" si="0"/>
        <v>0</v>
      </c>
      <c r="F8" s="4">
        <f t="shared" si="1"/>
        <v>0</v>
      </c>
    </row>
    <row r="9" spans="1:22" x14ac:dyDescent="0.35">
      <c r="A9" s="4" t="s">
        <v>19</v>
      </c>
      <c r="B9" s="4">
        <v>3</v>
      </c>
      <c r="C9" s="4">
        <v>30</v>
      </c>
      <c r="D9" s="4">
        <v>30</v>
      </c>
      <c r="E9" s="4">
        <f t="shared" si="0"/>
        <v>90</v>
      </c>
      <c r="F9" s="4">
        <f t="shared" si="1"/>
        <v>90</v>
      </c>
    </row>
    <row r="10" spans="1:22" x14ac:dyDescent="0.35">
      <c r="A10" s="4" t="s">
        <v>20</v>
      </c>
      <c r="B10" s="4">
        <v>1</v>
      </c>
      <c r="C10" s="4">
        <v>65</v>
      </c>
      <c r="D10" s="4">
        <v>65</v>
      </c>
      <c r="E10" s="4">
        <f t="shared" si="0"/>
        <v>65</v>
      </c>
      <c r="F10" s="4">
        <f t="shared" si="1"/>
        <v>65</v>
      </c>
    </row>
    <row r="16" spans="1:22" x14ac:dyDescent="0.35">
      <c r="A16" s="19" t="s">
        <v>37</v>
      </c>
      <c r="B16" s="21"/>
      <c r="C16" s="21"/>
      <c r="D16" s="21"/>
      <c r="E16" s="21"/>
      <c r="F16" s="20"/>
    </row>
    <row r="17" spans="1:6" x14ac:dyDescent="0.35">
      <c r="A17" s="4" t="s">
        <v>24</v>
      </c>
      <c r="B17" s="4" t="s">
        <v>25</v>
      </c>
      <c r="C17" s="4" t="s">
        <v>28</v>
      </c>
      <c r="D17" s="4" t="s">
        <v>29</v>
      </c>
      <c r="E17" s="4" t="s">
        <v>30</v>
      </c>
      <c r="F17" s="5" t="s">
        <v>31</v>
      </c>
    </row>
    <row r="18" spans="1:6" x14ac:dyDescent="0.35">
      <c r="A18" s="4" t="s">
        <v>54</v>
      </c>
      <c r="B18" s="4">
        <v>1</v>
      </c>
      <c r="C18" s="4">
        <v>300</v>
      </c>
      <c r="D18" s="4">
        <v>450</v>
      </c>
      <c r="E18" s="4">
        <f t="shared" ref="E18:E24" si="2">B18*C18</f>
        <v>300</v>
      </c>
      <c r="F18" s="4">
        <f>B18*D18</f>
        <v>450</v>
      </c>
    </row>
    <row r="19" spans="1:6" x14ac:dyDescent="0.35">
      <c r="A19" s="4" t="s">
        <v>15</v>
      </c>
      <c r="B19" s="4">
        <v>1</v>
      </c>
      <c r="C19" s="4">
        <v>10</v>
      </c>
      <c r="D19" s="4">
        <v>2</v>
      </c>
      <c r="E19" s="4">
        <f t="shared" si="2"/>
        <v>10</v>
      </c>
      <c r="F19" s="4">
        <f t="shared" ref="F19:F24" si="3">B19*D19</f>
        <v>2</v>
      </c>
    </row>
    <row r="20" spans="1:6" x14ac:dyDescent="0.35">
      <c r="A20" s="4" t="s">
        <v>16</v>
      </c>
      <c r="B20" s="4">
        <v>1</v>
      </c>
      <c r="C20" s="4">
        <v>200</v>
      </c>
      <c r="D20" s="4">
        <v>100</v>
      </c>
      <c r="E20" s="4">
        <f t="shared" si="2"/>
        <v>200</v>
      </c>
      <c r="F20" s="4">
        <f t="shared" si="3"/>
        <v>100</v>
      </c>
    </row>
    <row r="21" spans="1:6" x14ac:dyDescent="0.35">
      <c r="A21" s="4" t="s">
        <v>17</v>
      </c>
      <c r="B21" s="4">
        <v>1</v>
      </c>
      <c r="C21" s="4">
        <v>550</v>
      </c>
      <c r="D21" s="4">
        <v>550</v>
      </c>
      <c r="E21" s="4">
        <f t="shared" si="2"/>
        <v>550</v>
      </c>
      <c r="F21" s="4">
        <f t="shared" si="3"/>
        <v>550</v>
      </c>
    </row>
    <row r="22" spans="1:6" x14ac:dyDescent="0.35">
      <c r="A22" s="4" t="s">
        <v>18</v>
      </c>
      <c r="B22" s="4">
        <v>1</v>
      </c>
      <c r="C22" s="4">
        <v>125</v>
      </c>
      <c r="D22" s="4">
        <v>150</v>
      </c>
      <c r="E22" s="4">
        <f t="shared" si="2"/>
        <v>125</v>
      </c>
      <c r="F22" s="4">
        <f t="shared" si="3"/>
        <v>150</v>
      </c>
    </row>
    <row r="23" spans="1:6" x14ac:dyDescent="0.35">
      <c r="A23" s="4" t="s">
        <v>19</v>
      </c>
      <c r="B23" s="4">
        <v>3</v>
      </c>
      <c r="C23" s="4">
        <v>30</v>
      </c>
      <c r="D23" s="4">
        <v>8</v>
      </c>
      <c r="E23" s="4">
        <f t="shared" si="2"/>
        <v>90</v>
      </c>
      <c r="F23" s="4">
        <f t="shared" si="3"/>
        <v>24</v>
      </c>
    </row>
    <row r="24" spans="1:6" x14ac:dyDescent="0.35">
      <c r="A24" s="4" t="s">
        <v>20</v>
      </c>
      <c r="B24" s="4">
        <v>1</v>
      </c>
      <c r="C24" s="4">
        <v>65</v>
      </c>
      <c r="D24" s="4">
        <v>150</v>
      </c>
      <c r="E24" s="4">
        <f t="shared" si="2"/>
        <v>65</v>
      </c>
      <c r="F24" s="4">
        <f t="shared" si="3"/>
        <v>150</v>
      </c>
    </row>
    <row r="27" spans="1:6" x14ac:dyDescent="0.35">
      <c r="A27" s="19" t="s">
        <v>55</v>
      </c>
      <c r="B27" s="21"/>
      <c r="C27" s="21"/>
      <c r="D27" s="21"/>
      <c r="E27" s="21"/>
      <c r="F27" s="20"/>
    </row>
    <row r="28" spans="1:6" x14ac:dyDescent="0.35">
      <c r="A28" s="4" t="s">
        <v>24</v>
      </c>
      <c r="B28" s="4" t="s">
        <v>25</v>
      </c>
      <c r="C28" s="4" t="s">
        <v>28</v>
      </c>
      <c r="D28" s="4" t="s">
        <v>29</v>
      </c>
      <c r="E28" s="4" t="s">
        <v>30</v>
      </c>
      <c r="F28" s="5" t="s">
        <v>31</v>
      </c>
    </row>
    <row r="29" spans="1:6" x14ac:dyDescent="0.35">
      <c r="A29" s="4" t="s">
        <v>54</v>
      </c>
      <c r="B29" s="4">
        <v>1</v>
      </c>
      <c r="C29" s="4">
        <v>700</v>
      </c>
      <c r="D29" s="4">
        <v>250</v>
      </c>
      <c r="E29" s="4">
        <f t="shared" ref="E29:E35" si="4">B29*C29</f>
        <v>700</v>
      </c>
      <c r="F29" s="4">
        <f>B29*D29</f>
        <v>250</v>
      </c>
    </row>
    <row r="30" spans="1:6" x14ac:dyDescent="0.35">
      <c r="A30" s="4" t="s">
        <v>15</v>
      </c>
      <c r="B30" s="4">
        <v>1</v>
      </c>
      <c r="C30" s="4">
        <v>10</v>
      </c>
      <c r="D30" s="4">
        <v>2</v>
      </c>
      <c r="E30" s="4">
        <f t="shared" si="4"/>
        <v>10</v>
      </c>
      <c r="F30" s="4">
        <f t="shared" ref="F30:F35" si="5">B30*D30</f>
        <v>2</v>
      </c>
    </row>
    <row r="31" spans="1:6" x14ac:dyDescent="0.35">
      <c r="A31" s="4" t="s">
        <v>16</v>
      </c>
      <c r="B31" s="4">
        <v>1</v>
      </c>
      <c r="C31" s="4">
        <v>150</v>
      </c>
      <c r="D31" s="4">
        <v>80</v>
      </c>
      <c r="E31" s="4">
        <f t="shared" si="4"/>
        <v>150</v>
      </c>
      <c r="F31" s="4">
        <f t="shared" si="5"/>
        <v>80</v>
      </c>
    </row>
    <row r="32" spans="1:6" x14ac:dyDescent="0.35">
      <c r="A32" s="4" t="s">
        <v>17</v>
      </c>
      <c r="B32" s="4">
        <v>1</v>
      </c>
      <c r="C32" s="4">
        <v>250</v>
      </c>
      <c r="D32" s="4">
        <v>250</v>
      </c>
      <c r="E32" s="4">
        <f t="shared" si="4"/>
        <v>250</v>
      </c>
      <c r="F32" s="4">
        <f t="shared" si="5"/>
        <v>250</v>
      </c>
    </row>
    <row r="33" spans="1:6" x14ac:dyDescent="0.35">
      <c r="A33" s="4" t="s">
        <v>18</v>
      </c>
      <c r="B33" s="4">
        <v>0</v>
      </c>
      <c r="C33" s="4">
        <v>125</v>
      </c>
      <c r="D33" s="4">
        <v>125</v>
      </c>
      <c r="E33" s="4">
        <f t="shared" si="4"/>
        <v>0</v>
      </c>
      <c r="F33" s="4">
        <f t="shared" si="5"/>
        <v>0</v>
      </c>
    </row>
    <row r="34" spans="1:6" x14ac:dyDescent="0.35">
      <c r="A34" s="4" t="s">
        <v>19</v>
      </c>
      <c r="B34" s="4">
        <v>0</v>
      </c>
      <c r="C34" s="4">
        <v>30</v>
      </c>
      <c r="D34" s="4">
        <v>30</v>
      </c>
      <c r="E34" s="4">
        <f t="shared" si="4"/>
        <v>0</v>
      </c>
      <c r="F34" s="4">
        <f t="shared" si="5"/>
        <v>0</v>
      </c>
    </row>
    <row r="35" spans="1:6" x14ac:dyDescent="0.35">
      <c r="A35" s="4" t="s">
        <v>20</v>
      </c>
      <c r="B35" s="4">
        <v>0</v>
      </c>
      <c r="C35" s="4">
        <v>65</v>
      </c>
      <c r="D35" s="4">
        <v>65</v>
      </c>
      <c r="E35" s="4">
        <f t="shared" si="4"/>
        <v>0</v>
      </c>
      <c r="F35" s="4">
        <f t="shared" si="5"/>
        <v>0</v>
      </c>
    </row>
  </sheetData>
  <mergeCells count="7">
    <mergeCell ref="A27:F27"/>
    <mergeCell ref="A16:F16"/>
    <mergeCell ref="O2:P2"/>
    <mergeCell ref="A2:F2"/>
    <mergeCell ref="Q2:R2"/>
    <mergeCell ref="M2:N2"/>
    <mergeCell ref="K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6566-15F8-4DA9-AAE4-4F59A8A20EC6}">
  <dimension ref="A1:R7"/>
  <sheetViews>
    <sheetView workbookViewId="0">
      <selection activeCell="O4" activeCellId="1" sqref="O7 O4"/>
    </sheetView>
  </sheetViews>
  <sheetFormatPr defaultRowHeight="14.5" x14ac:dyDescent="0.35"/>
  <cols>
    <col min="2" max="2" width="7.453125" bestFit="1" customWidth="1"/>
    <col min="3" max="3" width="5.81640625" bestFit="1" customWidth="1"/>
    <col min="5" max="5" width="16.6328125" bestFit="1" customWidth="1"/>
    <col min="6" max="6" width="5.81640625" bestFit="1" customWidth="1"/>
    <col min="10" max="10" width="8.7265625" style="3"/>
    <col min="11" max="11" width="7.453125" bestFit="1" customWidth="1"/>
    <col min="12" max="12" width="5.81640625" bestFit="1" customWidth="1"/>
    <col min="13" max="13" width="14.7265625" bestFit="1" customWidth="1"/>
    <col min="14" max="14" width="16.6328125" bestFit="1" customWidth="1"/>
    <col min="15" max="15" width="5.81640625" bestFit="1" customWidth="1"/>
  </cols>
  <sheetData>
    <row r="1" spans="1:18" x14ac:dyDescent="0.35">
      <c r="A1" s="17" t="s">
        <v>10</v>
      </c>
      <c r="B1" s="17"/>
      <c r="C1" s="17"/>
      <c r="D1" s="17"/>
      <c r="E1" s="17"/>
      <c r="F1" s="17"/>
      <c r="G1" s="17"/>
      <c r="H1" s="17"/>
      <c r="I1" s="17"/>
      <c r="K1" s="17" t="s">
        <v>11</v>
      </c>
      <c r="L1" s="17"/>
      <c r="M1" s="17"/>
      <c r="N1" s="17"/>
      <c r="O1" s="17"/>
      <c r="P1" s="17"/>
      <c r="Q1" s="17"/>
      <c r="R1" s="17"/>
    </row>
    <row r="2" spans="1:18" x14ac:dyDescent="0.35">
      <c r="B2" s="22" t="s">
        <v>7</v>
      </c>
      <c r="C2" s="22"/>
      <c r="E2" s="22" t="s">
        <v>8</v>
      </c>
      <c r="F2" s="22"/>
      <c r="K2" s="8" t="s">
        <v>7</v>
      </c>
      <c r="L2" s="8"/>
      <c r="N2" s="8" t="s">
        <v>8</v>
      </c>
      <c r="O2" s="8"/>
    </row>
    <row r="3" spans="1:18" x14ac:dyDescent="0.35">
      <c r="B3" t="s">
        <v>5</v>
      </c>
      <c r="C3">
        <v>43000</v>
      </c>
      <c r="E3" t="s">
        <v>45</v>
      </c>
      <c r="F3">
        <v>9700</v>
      </c>
      <c r="H3" t="s">
        <v>6</v>
      </c>
      <c r="I3">
        <f>SUM(C:C)-SUM(F:F)</f>
        <v>8220</v>
      </c>
      <c r="K3" t="s">
        <v>5</v>
      </c>
      <c r="L3">
        <v>41000</v>
      </c>
      <c r="N3" t="s">
        <v>45</v>
      </c>
      <c r="O3">
        <v>9700</v>
      </c>
      <c r="Q3" t="s">
        <v>6</v>
      </c>
      <c r="R3">
        <f>SUM(L:L)-SUM(O:O)</f>
        <v>6220</v>
      </c>
    </row>
    <row r="4" spans="1:18" x14ac:dyDescent="0.35">
      <c r="B4" t="s">
        <v>40</v>
      </c>
      <c r="C4">
        <v>3900</v>
      </c>
      <c r="E4" t="s">
        <v>46</v>
      </c>
      <c r="F4">
        <v>15000</v>
      </c>
      <c r="K4" t="s">
        <v>40</v>
      </c>
      <c r="L4">
        <v>3900</v>
      </c>
      <c r="N4" t="s">
        <v>46</v>
      </c>
      <c r="O4">
        <v>15000</v>
      </c>
    </row>
    <row r="5" spans="1:18" x14ac:dyDescent="0.35">
      <c r="B5" t="s">
        <v>41</v>
      </c>
      <c r="C5">
        <v>2020</v>
      </c>
      <c r="E5" t="s">
        <v>47</v>
      </c>
      <c r="F5">
        <v>10000</v>
      </c>
      <c r="K5" t="s">
        <v>41</v>
      </c>
      <c r="L5">
        <v>2020</v>
      </c>
      <c r="N5" t="s">
        <v>47</v>
      </c>
      <c r="O5">
        <v>10000</v>
      </c>
    </row>
    <row r="6" spans="1:18" x14ac:dyDescent="0.35">
      <c r="B6" t="s">
        <v>50</v>
      </c>
      <c r="C6">
        <v>6000</v>
      </c>
      <c r="E6" t="s">
        <v>48</v>
      </c>
      <c r="F6">
        <v>10000</v>
      </c>
      <c r="K6" t="s">
        <v>50</v>
      </c>
      <c r="L6">
        <v>6000</v>
      </c>
      <c r="N6" t="s">
        <v>48</v>
      </c>
      <c r="O6">
        <v>10000</v>
      </c>
    </row>
    <row r="7" spans="1:18" x14ac:dyDescent="0.35">
      <c r="E7" t="s">
        <v>49</v>
      </c>
      <c r="F7">
        <v>2000</v>
      </c>
      <c r="N7" t="s">
        <v>49</v>
      </c>
      <c r="O7">
        <v>2000</v>
      </c>
    </row>
  </sheetData>
  <mergeCells count="4">
    <mergeCell ref="A1:I1"/>
    <mergeCell ref="K1:R1"/>
    <mergeCell ref="B2:C2"/>
    <mergeCell ref="E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B0D7-C78F-4EA8-8418-3648794589E7}">
  <dimension ref="A2:K12"/>
  <sheetViews>
    <sheetView zoomScale="99" workbookViewId="0">
      <selection activeCell="C8" sqref="C8:L8"/>
    </sheetView>
  </sheetViews>
  <sheetFormatPr defaultRowHeight="14.5" x14ac:dyDescent="0.35"/>
  <cols>
    <col min="3" max="3" width="13.08984375" bestFit="1" customWidth="1"/>
    <col min="4" max="4" width="6.81640625" bestFit="1" customWidth="1"/>
  </cols>
  <sheetData>
    <row r="2" spans="1:11" x14ac:dyDescent="0.35">
      <c r="A2" s="11" t="s">
        <v>44</v>
      </c>
      <c r="B2" s="11">
        <v>492000</v>
      </c>
    </row>
    <row r="3" spans="1:11" x14ac:dyDescent="0.35">
      <c r="A3" s="11" t="s">
        <v>6</v>
      </c>
      <c r="B3" s="11">
        <f>B2-SUM(J:J)</f>
        <v>5689</v>
      </c>
    </row>
    <row r="5" spans="1:11" x14ac:dyDescent="0.35">
      <c r="C5" s="11" t="s">
        <v>40</v>
      </c>
      <c r="D5" s="11">
        <v>30000</v>
      </c>
      <c r="E5" s="11">
        <v>50000</v>
      </c>
      <c r="F5" s="11">
        <v>31850</v>
      </c>
      <c r="G5" s="11">
        <v>6000</v>
      </c>
      <c r="H5" s="11"/>
      <c r="I5" s="11"/>
      <c r="J5" s="11">
        <f>SUM(D5:G5)</f>
        <v>117850</v>
      </c>
      <c r="K5" s="12"/>
    </row>
    <row r="6" spans="1:11" x14ac:dyDescent="0.35">
      <c r="C6" s="11" t="s">
        <v>41</v>
      </c>
      <c r="D6" s="11">
        <v>50000</v>
      </c>
      <c r="E6" s="11"/>
      <c r="F6" s="11"/>
      <c r="G6" s="11"/>
      <c r="H6" s="11"/>
      <c r="I6" s="11"/>
      <c r="J6" s="11">
        <f>SUM(D6:F6)</f>
        <v>50000</v>
      </c>
      <c r="K6" s="12"/>
    </row>
    <row r="7" spans="1:11" x14ac:dyDescent="0.35">
      <c r="C7" s="11" t="s">
        <v>42</v>
      </c>
      <c r="D7" s="11">
        <v>24000</v>
      </c>
      <c r="E7" s="11"/>
      <c r="F7" s="11"/>
      <c r="G7" s="11"/>
      <c r="H7" s="11"/>
      <c r="I7" s="11"/>
      <c r="J7" s="11">
        <f>SUM(D7:F7)</f>
        <v>24000</v>
      </c>
      <c r="K7" s="12"/>
    </row>
    <row r="8" spans="1:11" x14ac:dyDescent="0.35">
      <c r="C8" s="11" t="s">
        <v>53</v>
      </c>
      <c r="D8" s="11">
        <v>75000</v>
      </c>
      <c r="E8" s="11"/>
      <c r="F8" s="11"/>
      <c r="G8" s="11"/>
      <c r="H8" s="11"/>
      <c r="I8" s="11"/>
      <c r="J8" s="11">
        <f>SUM(D8:F8)</f>
        <v>75000</v>
      </c>
      <c r="K8" s="12"/>
    </row>
    <row r="9" spans="1:11" x14ac:dyDescent="0.35">
      <c r="C9" s="11" t="s">
        <v>43</v>
      </c>
      <c r="D9" s="11">
        <v>193828</v>
      </c>
      <c r="E9" s="11"/>
      <c r="F9" s="11"/>
      <c r="G9" s="11"/>
      <c r="H9" s="11"/>
      <c r="I9" s="11"/>
      <c r="J9" s="11">
        <f>SUM(D9:F9)</f>
        <v>193828</v>
      </c>
      <c r="K9" s="12"/>
    </row>
    <row r="10" spans="1:11" x14ac:dyDescent="0.35">
      <c r="C10" s="11" t="s">
        <v>41</v>
      </c>
      <c r="D10" s="15">
        <v>15000</v>
      </c>
      <c r="E10" s="11"/>
      <c r="F10" s="11"/>
      <c r="G10" s="11"/>
      <c r="H10" s="11"/>
      <c r="I10" s="11"/>
      <c r="J10" s="15">
        <f>SUM(D10:F10)</f>
        <v>15000</v>
      </c>
      <c r="K10" s="12"/>
    </row>
    <row r="11" spans="1:11" x14ac:dyDescent="0.35">
      <c r="C11" s="15" t="s">
        <v>56</v>
      </c>
      <c r="D11" s="15">
        <v>5000</v>
      </c>
      <c r="E11" s="11"/>
      <c r="F11" s="11"/>
      <c r="G11" s="11"/>
      <c r="H11" s="11"/>
      <c r="I11" s="11"/>
      <c r="J11" s="11">
        <v>5000</v>
      </c>
      <c r="K11" s="12"/>
    </row>
    <row r="12" spans="1:11" x14ac:dyDescent="0.35">
      <c r="C12" s="15" t="s">
        <v>57</v>
      </c>
      <c r="D12" s="15">
        <v>5633</v>
      </c>
      <c r="E12" s="11"/>
      <c r="F12" s="11"/>
      <c r="G12" s="11"/>
      <c r="H12" s="11"/>
      <c r="I12" s="11"/>
      <c r="J12" s="11">
        <v>5633</v>
      </c>
      <c r="K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Personal</vt:lpstr>
      <vt:lpstr>CosmicCorner</vt:lpstr>
      <vt:lpstr>Stalls</vt:lpstr>
      <vt:lpstr>Credit Card</vt:lpstr>
      <vt:lpstr>Mochi</vt:lpstr>
      <vt:lpstr>Divya Salary</vt:lpstr>
      <vt:lpstr>Divya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Shaik</dc:creator>
  <cp:lastModifiedBy>shaik sameer(ＴＴＤＩ TTDI)</cp:lastModifiedBy>
  <dcterms:created xsi:type="dcterms:W3CDTF">2015-06-05T18:17:20Z</dcterms:created>
  <dcterms:modified xsi:type="dcterms:W3CDTF">2026-01-05T15:03:35Z</dcterms:modified>
</cp:coreProperties>
</file>