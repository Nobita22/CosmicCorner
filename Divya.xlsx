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T06505\Documents\Mine\"/>
    </mc:Choice>
  </mc:AlternateContent>
  <xr:revisionPtr revIDLastSave="0" documentId="13_ncr:1_{00766605-E20C-458E-829F-5DCBA3B7927E}" xr6:coauthVersionLast="47" xr6:coauthVersionMax="47" xr10:uidLastSave="{00000000-0000-0000-0000-000000000000}"/>
  <bookViews>
    <workbookView xWindow="-110" yWindow="-110" windowWidth="19420" windowHeight="10300" tabRatio="680" activeTab="1" xr2:uid="{DE7B289B-BF63-4F2B-9E81-5DB5F41270C0}"/>
  </bookViews>
  <sheets>
    <sheet name="Personal" sheetId="1" r:id="rId1"/>
    <sheet name="Sheet1" sheetId="3" r:id="rId2"/>
    <sheet name="EMI" sheetId="2" r:id="rId3"/>
  </sheets>
  <definedNames>
    <definedName name="_xlnm._FilterDatabase" localSheetId="0" hidden="1">Personal!$O$1:$O$7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7" i="3"/>
  <c r="A18" i="3"/>
  <c r="X7" i="1"/>
  <c r="Z7" i="1" s="1"/>
  <c r="X6" i="1"/>
  <c r="C8" i="2"/>
  <c r="C10" i="2"/>
  <c r="F23" i="2"/>
  <c r="C9" i="2"/>
  <c r="Q2" i="2" l="1"/>
  <c r="R2" i="2"/>
  <c r="AN3" i="3"/>
  <c r="AD3" i="3"/>
  <c r="T3" i="3"/>
  <c r="I3" i="3"/>
  <c r="S3" i="1"/>
  <c r="X8" i="1"/>
  <c r="Z8" i="1" s="1"/>
  <c r="I3" i="1"/>
  <c r="F22" i="2"/>
  <c r="Z6" i="1"/>
  <c r="X5" i="1"/>
  <c r="Z5" i="1" s="1"/>
  <c r="F21" i="2"/>
  <c r="F20" i="2"/>
  <c r="X4" i="1"/>
  <c r="Z4" i="1" s="1"/>
  <c r="C11" i="2"/>
  <c r="S2" i="2" l="1"/>
  <c r="Q3" i="2" s="1"/>
  <c r="S3" i="2" s="1"/>
  <c r="Q4" i="2" s="1"/>
  <c r="S4" i="2" s="1"/>
  <c r="Q5" i="2" s="1"/>
  <c r="S5" i="2" s="1"/>
  <c r="Q6" i="2" s="1"/>
  <c r="S6" i="2" s="1"/>
  <c r="Q7" i="2" s="1"/>
  <c r="S7" i="2" s="1"/>
  <c r="Q8" i="2" s="1"/>
  <c r="S8" i="2" s="1"/>
  <c r="Q9" i="2" s="1"/>
  <c r="S9" i="2" s="1"/>
  <c r="Q10" i="2" s="1"/>
  <c r="S10" i="2" s="1"/>
  <c r="Q11" i="2" s="1"/>
  <c r="S11" i="2" s="1"/>
  <c r="Q12" i="2" s="1"/>
  <c r="S12" i="2" s="1"/>
  <c r="Q13" i="2" s="1"/>
  <c r="S13" i="2" s="1"/>
  <c r="Q14" i="2" s="1"/>
  <c r="S14" i="2" s="1"/>
  <c r="Q15" i="2" s="1"/>
  <c r="S15" i="2" s="1"/>
  <c r="Q16" i="2" s="1"/>
  <c r="S16" i="2" s="1"/>
  <c r="Q17" i="2" s="1"/>
  <c r="S17" i="2" s="1"/>
  <c r="Q18" i="2" s="1"/>
  <c r="S18" i="2" s="1"/>
  <c r="Q19" i="2" s="1"/>
  <c r="S19" i="2" s="1"/>
  <c r="Q20" i="2" s="1"/>
  <c r="S20" i="2" s="1"/>
  <c r="Q21" i="2" s="1"/>
  <c r="S21" i="2" s="1"/>
  <c r="Q22" i="2" s="1"/>
  <c r="S22" i="2" s="1"/>
  <c r="Q23" i="2" s="1"/>
  <c r="S23" i="2" s="1"/>
  <c r="Q24" i="2" s="1"/>
  <c r="S24" i="2" s="1"/>
  <c r="Q25" i="2" s="1"/>
  <c r="S25" i="2" s="1"/>
  <c r="Q26" i="2" s="1"/>
  <c r="S26" i="2" s="1"/>
  <c r="Q27" i="2" s="1"/>
  <c r="S27" i="2" s="1"/>
  <c r="Q28" i="2" s="1"/>
  <c r="S28" i="2" s="1"/>
  <c r="Q29" i="2" s="1"/>
  <c r="S29" i="2" s="1"/>
  <c r="W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 Divya Kosireddi</author>
  </authors>
  <commentList>
    <comment ref="C8" authorId="0" shapeId="0" xr:uid="{B387F086-AC3A-402B-8016-371B7C48F812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10th April,2026
updated on 17th April
added 25000-S and 5000-Mine
</t>
        </r>
      </text>
    </comment>
    <comment ref="C9" authorId="0" shapeId="0" xr:uid="{599E68DE-B7EC-4B1F-AD0A-C7D48B03126D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10th April,2026
+20000 on 16th April
updated</t>
        </r>
      </text>
    </comment>
    <comment ref="C10" authorId="0" shapeId="0" xr:uid="{D6BDAF24-21FF-4EEA-BA35-C70F06286176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10th April,2026
+20000 on 16th April
updated
+20000 on May 1st</t>
        </r>
      </text>
    </comment>
    <comment ref="C11" authorId="0" shapeId="0" xr:uid="{2F5CF11A-E560-4C82-B9CC-A84636E9335E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10th April,2026</t>
        </r>
      </text>
    </comment>
    <comment ref="C12" authorId="0" shapeId="0" xr:uid="{9CB9673A-CCDF-4144-822E-F6E808B2083A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As of 4th may,2026
</t>
        </r>
      </text>
    </comment>
    <comment ref="C13" authorId="0" shapeId="0" xr:uid="{B4152546-274C-4D06-AF08-ECF834C23873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10th April,2026</t>
        </r>
      </text>
    </comment>
    <comment ref="C20" authorId="0" shapeId="0" xr:uid="{DF9984E6-9051-4902-8B0F-4EE833A3C7F7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24th march,2026
updated due as of 5th of May,2026</t>
        </r>
      </text>
    </comment>
    <comment ref="C21" authorId="0" shapeId="0" xr:uid="{125EEA59-F766-45DF-B1B2-DC4D593224FD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22nd April,2026</t>
        </r>
      </text>
    </comment>
    <comment ref="C22" authorId="0" shapeId="0" xr:uid="{830E8812-5BA0-4290-B834-D6BE84834A47}">
      <text>
        <r>
          <rPr>
            <b/>
            <sz val="9"/>
            <color indexed="81"/>
            <rFont val="Tahoma"/>
            <family val="2"/>
          </rPr>
          <t>Sai Divya Kosireddi:</t>
        </r>
        <r>
          <rPr>
            <sz val="9"/>
            <color indexed="81"/>
            <rFont val="Tahoma"/>
            <family val="2"/>
          </rPr>
          <t xml:space="preserve">
Due as of 6th April,2026</t>
        </r>
      </text>
    </comment>
  </commentList>
</comments>
</file>

<file path=xl/sharedStrings.xml><?xml version="1.0" encoding="utf-8"?>
<sst xmlns="http://schemas.openxmlformats.org/spreadsheetml/2006/main" count="159" uniqueCount="58">
  <si>
    <t>LIVE</t>
  </si>
  <si>
    <t>DEVELOPMENT</t>
  </si>
  <si>
    <t>LOANS</t>
  </si>
  <si>
    <t>INCOME</t>
  </si>
  <si>
    <t>OUTGOING</t>
  </si>
  <si>
    <t>Total</t>
  </si>
  <si>
    <t>Salary</t>
  </si>
  <si>
    <t>ICIC Loan</t>
  </si>
  <si>
    <t>Balance</t>
  </si>
  <si>
    <t>Type</t>
  </si>
  <si>
    <t>Last Month</t>
  </si>
  <si>
    <t>Pending Months</t>
  </si>
  <si>
    <t>Per Month EMI</t>
  </si>
  <si>
    <t>Total Pending Amount</t>
  </si>
  <si>
    <t>Sameer</t>
  </si>
  <si>
    <t>Sister ICIC Loan</t>
  </si>
  <si>
    <t>Sister</t>
  </si>
  <si>
    <t>Home</t>
  </si>
  <si>
    <t>RK</t>
  </si>
  <si>
    <t>Hostel</t>
  </si>
  <si>
    <t>Person</t>
  </si>
  <si>
    <t>EMI</t>
  </si>
  <si>
    <t>Month</t>
  </si>
  <si>
    <t>Actual</t>
  </si>
  <si>
    <t>Due</t>
  </si>
  <si>
    <t>MF</t>
  </si>
  <si>
    <t>cheeti</t>
  </si>
  <si>
    <t>SaDi</t>
  </si>
  <si>
    <t xml:space="preserve">From </t>
  </si>
  <si>
    <t>To</t>
  </si>
  <si>
    <t>Amount</t>
  </si>
  <si>
    <t>Mukesh</t>
  </si>
  <si>
    <t>Panda</t>
  </si>
  <si>
    <t xml:space="preserve">Panda </t>
  </si>
  <si>
    <t>Pig</t>
  </si>
  <si>
    <t>Bava</t>
  </si>
  <si>
    <t>Tenure Bal</t>
  </si>
  <si>
    <t>Mukku</t>
  </si>
  <si>
    <t>Mukku Loan</t>
  </si>
  <si>
    <t>MAY DEVELOPMENT</t>
  </si>
  <si>
    <t>JUNE DEVELOPMENT</t>
  </si>
  <si>
    <t>loan money</t>
  </si>
  <si>
    <t>Panda(M)</t>
  </si>
  <si>
    <t>JULY DEVELOPMENT</t>
  </si>
  <si>
    <t>AUG DEVELOPMENT</t>
  </si>
  <si>
    <t>Axis loan</t>
  </si>
  <si>
    <t>Piggu</t>
  </si>
  <si>
    <t>current bill</t>
  </si>
  <si>
    <t>DD</t>
  </si>
  <si>
    <t>HDFC Loan</t>
  </si>
  <si>
    <t>Due dates</t>
  </si>
  <si>
    <t>5th(ICICI)</t>
  </si>
  <si>
    <t>10th(ICICI)</t>
  </si>
  <si>
    <t>7th(AXIS)</t>
  </si>
  <si>
    <t>10th(AXIS)</t>
  </si>
  <si>
    <t>cards</t>
  </si>
  <si>
    <t>splits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</si>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</sst>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0" fillId="9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3" fontId="1" fillId="11" borderId="2" xfId="0" applyNumberFormat="1" applyFont="1" applyFill="1" applyBorder="1" applyAlignment="1">
      <alignment horizontal="center"/>
    </xf>
    <xf numFmtId="3" fontId="1" fillId="11" borderId="3" xfId="0" applyNumberFormat="1" applyFont="1" applyFill="1" applyBorder="1" applyAlignment="1">
      <alignment horizontal="center"/>
    </xf>
    <xf numFmtId="3" fontId="1" fillId="11" borderId="4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54A6-903A-4010-B074-1428BF6921AC}">
  <dimension ref="A1:Z11"/>
  <sheetViews>
    <sheetView workbookViewId="0">
      <selection activeCell="J8" sqref="J8"/>
    </sheetView>
  </sheetViews>
  <sheetFormatPr defaultRowHeight="14.5" x14ac:dyDescent="0.35"/>
  <cols>
    <col min="2" max="2" width="7.453125" bestFit="1" customWidth="1"/>
    <col min="3" max="3" width="5.81640625" bestFit="1" customWidth="1"/>
    <col min="5" max="5" width="13.6328125" bestFit="1" customWidth="1"/>
    <col min="6" max="6" width="5.81640625" bestFit="1" customWidth="1"/>
    <col min="8" max="8" width="7.36328125" bestFit="1" customWidth="1"/>
    <col min="9" max="9" width="6.453125" bestFit="1" customWidth="1"/>
    <col min="10" max="10" width="7.453125" bestFit="1" customWidth="1"/>
    <col min="11" max="11" width="5.81640625" bestFit="1" customWidth="1"/>
    <col min="12" max="12" width="7" bestFit="1" customWidth="1"/>
    <col min="13" max="13" width="5.81640625" bestFit="1" customWidth="1"/>
    <col min="14" max="14" width="7.81640625" bestFit="1" customWidth="1"/>
    <col min="15" max="15" width="14.08984375" bestFit="1" customWidth="1"/>
    <col min="18" max="18" width="7.36328125" bestFit="1" customWidth="1"/>
    <col min="19" max="19" width="6.453125" bestFit="1" customWidth="1"/>
    <col min="22" max="22" width="7" bestFit="1" customWidth="1"/>
    <col min="23" max="23" width="9.90625" bestFit="1" customWidth="1"/>
    <col min="24" max="24" width="14.26953125" bestFit="1" customWidth="1"/>
    <col min="25" max="25" width="12.54296875" bestFit="1" customWidth="1"/>
    <col min="26" max="26" width="19.1796875" bestFit="1" customWidth="1"/>
  </cols>
  <sheetData>
    <row r="1" spans="1:26" x14ac:dyDescent="0.35">
      <c r="A1" s="25" t="s">
        <v>0</v>
      </c>
      <c r="B1" s="25"/>
      <c r="C1" s="25"/>
      <c r="D1" s="25"/>
      <c r="E1" s="25"/>
      <c r="F1" s="25"/>
      <c r="G1" s="25"/>
      <c r="H1" s="25"/>
      <c r="I1" s="25"/>
      <c r="K1" s="25" t="s">
        <v>1</v>
      </c>
      <c r="L1" s="25"/>
      <c r="M1" s="25"/>
      <c r="N1" s="25"/>
      <c r="O1" s="25"/>
      <c r="P1" s="25"/>
      <c r="Q1" s="25"/>
      <c r="R1" s="25"/>
      <c r="S1" s="25"/>
      <c r="V1" s="30" t="s">
        <v>2</v>
      </c>
      <c r="W1" s="31"/>
      <c r="X1" s="31"/>
      <c r="Y1" s="31"/>
      <c r="Z1" s="32"/>
    </row>
    <row r="2" spans="1:26" x14ac:dyDescent="0.35">
      <c r="B2" s="26" t="s">
        <v>3</v>
      </c>
      <c r="C2" s="26"/>
      <c r="E2" s="26" t="s">
        <v>4</v>
      </c>
      <c r="F2" s="26"/>
      <c r="L2" s="26" t="s">
        <v>3</v>
      </c>
      <c r="M2" s="26"/>
      <c r="O2" s="26" t="s">
        <v>4</v>
      </c>
      <c r="P2" s="26"/>
      <c r="V2" s="5" t="s">
        <v>5</v>
      </c>
      <c r="W2" s="27">
        <f ca="1">SUM(Z:Z)</f>
        <v>2501862</v>
      </c>
      <c r="X2" s="28"/>
      <c r="Y2" s="28"/>
      <c r="Z2" s="29"/>
    </row>
    <row r="3" spans="1:26" x14ac:dyDescent="0.35">
      <c r="B3" s="3" t="s">
        <v>6</v>
      </c>
      <c r="C3" s="4">
        <v>44744</v>
      </c>
      <c r="E3" s="9" t="s">
        <v>7</v>
      </c>
      <c r="F3" s="10">
        <v>9617</v>
      </c>
      <c r="H3" s="3" t="s">
        <v>8</v>
      </c>
      <c r="I3" s="3">
        <f>SUM(C:C)-SUM(F:F)</f>
        <v>4598</v>
      </c>
      <c r="L3" s="3" t="s">
        <v>6</v>
      </c>
      <c r="M3" s="4">
        <v>44744</v>
      </c>
      <c r="O3" s="9" t="s">
        <v>7</v>
      </c>
      <c r="P3" s="10">
        <v>9617</v>
      </c>
      <c r="R3" s="3" t="s">
        <v>8</v>
      </c>
      <c r="S3" s="3">
        <f>SUM(M:M)-SUM(P:P)</f>
        <v>5598</v>
      </c>
      <c r="V3" s="16" t="s">
        <v>9</v>
      </c>
      <c r="W3" s="16" t="s">
        <v>10</v>
      </c>
      <c r="X3" s="16" t="s">
        <v>11</v>
      </c>
      <c r="Y3" s="16" t="s">
        <v>12</v>
      </c>
      <c r="Z3" s="16" t="s">
        <v>13</v>
      </c>
    </row>
    <row r="4" spans="1:26" x14ac:dyDescent="0.35">
      <c r="B4" s="3" t="s">
        <v>18</v>
      </c>
      <c r="C4" s="4">
        <v>6000</v>
      </c>
      <c r="E4" s="9" t="s">
        <v>15</v>
      </c>
      <c r="F4" s="10">
        <v>11494</v>
      </c>
      <c r="L4" s="3" t="s">
        <v>18</v>
      </c>
      <c r="M4" s="4">
        <v>6000</v>
      </c>
      <c r="O4" s="23" t="s">
        <v>15</v>
      </c>
      <c r="P4" s="10">
        <v>11494</v>
      </c>
      <c r="V4" s="17" t="s">
        <v>16</v>
      </c>
      <c r="W4" s="18">
        <v>47604</v>
      </c>
      <c r="X4" s="17">
        <f ca="1">IF(W4 &lt; TODAY(), 0, DATEDIF(TODAY(), W4, "m"))+1</f>
        <v>48</v>
      </c>
      <c r="Y4" s="19">
        <v>14294</v>
      </c>
      <c r="Z4" s="19">
        <f ca="1">Y4*X4</f>
        <v>686112</v>
      </c>
    </row>
    <row r="5" spans="1:26" x14ac:dyDescent="0.35">
      <c r="B5" s="3" t="s">
        <v>35</v>
      </c>
      <c r="C5" s="4">
        <v>9700</v>
      </c>
      <c r="E5" s="9" t="s">
        <v>49</v>
      </c>
      <c r="F5" s="10">
        <v>6689</v>
      </c>
      <c r="L5" s="3" t="s">
        <v>35</v>
      </c>
      <c r="M5" s="4">
        <v>9700</v>
      </c>
      <c r="O5" s="9" t="s">
        <v>49</v>
      </c>
      <c r="P5" s="10">
        <v>6689</v>
      </c>
      <c r="V5" s="17" t="s">
        <v>48</v>
      </c>
      <c r="W5" s="18">
        <v>48183</v>
      </c>
      <c r="X5" s="17">
        <f t="shared" ref="X5" ca="1" si="0">IF(W5 &lt; TODAY(), 0, DATEDIF(TODAY(), W5, "m"))+1</f>
        <v>67</v>
      </c>
      <c r="Y5" s="19">
        <v>9617</v>
      </c>
      <c r="Z5" s="19">
        <f t="shared" ref="Z5" ca="1" si="1">Y5*X5</f>
        <v>644339</v>
      </c>
    </row>
    <row r="6" spans="1:26" x14ac:dyDescent="0.35">
      <c r="B6" s="3" t="s">
        <v>37</v>
      </c>
      <c r="C6" s="4">
        <v>6700</v>
      </c>
      <c r="E6" s="9" t="s">
        <v>45</v>
      </c>
      <c r="F6" s="10">
        <v>12046</v>
      </c>
      <c r="L6" s="3" t="s">
        <v>37</v>
      </c>
      <c r="M6" s="4">
        <v>6700</v>
      </c>
      <c r="O6" s="9" t="s">
        <v>45</v>
      </c>
      <c r="P6" s="10">
        <v>12046</v>
      </c>
      <c r="V6" s="9" t="s">
        <v>37</v>
      </c>
      <c r="W6" s="20">
        <v>47939</v>
      </c>
      <c r="X6" s="17">
        <f ca="1">IF(W6 &lt; TODAY(), 0, DATEDIF(TODAY(), W6, "m"))+1</f>
        <v>59</v>
      </c>
      <c r="Y6" s="14">
        <v>6689</v>
      </c>
      <c r="Z6" s="14">
        <f ca="1">X6*Y6</f>
        <v>394651</v>
      </c>
    </row>
    <row r="7" spans="1:26" x14ac:dyDescent="0.35">
      <c r="E7" s="9" t="s">
        <v>17</v>
      </c>
      <c r="F7" s="11">
        <v>10000</v>
      </c>
      <c r="O7" s="23" t="s">
        <v>17</v>
      </c>
      <c r="P7" s="11">
        <v>10000</v>
      </c>
      <c r="V7" s="17" t="s">
        <v>46</v>
      </c>
      <c r="W7" s="18">
        <v>47969</v>
      </c>
      <c r="X7" s="17">
        <f ca="1">IF(W7 &lt; TODAY(), 0, DATEDIF(TODAY(), W7, "m"))+1</f>
        <v>60</v>
      </c>
      <c r="Y7" s="19">
        <v>12046</v>
      </c>
      <c r="Z7" s="19">
        <f ca="1">X7*Y7</f>
        <v>722760</v>
      </c>
    </row>
    <row r="8" spans="1:26" x14ac:dyDescent="0.35">
      <c r="E8" s="9" t="s">
        <v>19</v>
      </c>
      <c r="F8" s="11">
        <v>9000</v>
      </c>
      <c r="O8" s="23" t="s">
        <v>19</v>
      </c>
      <c r="P8" s="11">
        <v>8000</v>
      </c>
      <c r="V8" s="9" t="s">
        <v>14</v>
      </c>
      <c r="W8" s="20">
        <v>46966</v>
      </c>
      <c r="X8" s="17">
        <f ca="1">IF(W8 &lt; TODAY(), 0, DATEDIF(TODAY(), W8, "m"))+1</f>
        <v>27</v>
      </c>
      <c r="Y8" s="14">
        <v>2000</v>
      </c>
      <c r="Z8" s="14">
        <f ca="1">X8*Y8</f>
        <v>54000</v>
      </c>
    </row>
    <row r="9" spans="1:26" x14ac:dyDescent="0.35">
      <c r="E9" s="9" t="s">
        <v>47</v>
      </c>
      <c r="F9" s="11">
        <v>1000</v>
      </c>
      <c r="O9" s="23" t="s">
        <v>47</v>
      </c>
      <c r="P9" s="11">
        <v>1000</v>
      </c>
      <c r="V9" s="1"/>
      <c r="X9" s="2"/>
      <c r="Y9" s="2"/>
    </row>
    <row r="10" spans="1:26" x14ac:dyDescent="0.35">
      <c r="E10" s="9" t="s">
        <v>25</v>
      </c>
      <c r="F10" s="12">
        <v>2000</v>
      </c>
      <c r="O10" s="23" t="s">
        <v>25</v>
      </c>
      <c r="P10" s="12">
        <v>2000</v>
      </c>
    </row>
    <row r="11" spans="1:26" x14ac:dyDescent="0.35">
      <c r="E11" s="9" t="s">
        <v>26</v>
      </c>
      <c r="F11" s="11">
        <v>700</v>
      </c>
      <c r="O11" s="23" t="s">
        <v>26</v>
      </c>
      <c r="P11" s="11">
        <v>700</v>
      </c>
    </row>
  </sheetData>
  <mergeCells count="8">
    <mergeCell ref="K1:S1"/>
    <mergeCell ref="L2:M2"/>
    <mergeCell ref="O2:P2"/>
    <mergeCell ref="W2:Z2"/>
    <mergeCell ref="A1:I1"/>
    <mergeCell ref="V1:Z1"/>
    <mergeCell ref="B2:C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D8EA-B1DA-4F76-9139-DE752309FDE1}">
  <dimension ref="A1:AN18"/>
  <sheetViews>
    <sheetView tabSelected="1" topLeftCell="B1" workbookViewId="0">
      <selection activeCell="K8" sqref="K8"/>
    </sheetView>
  </sheetViews>
  <sheetFormatPr defaultRowHeight="14.5" x14ac:dyDescent="0.35"/>
  <cols>
    <col min="2" max="2" width="10" bestFit="1" customWidth="1"/>
    <col min="5" max="5" width="13.6328125" bestFit="1" customWidth="1"/>
    <col min="16" max="16" width="13.6328125" bestFit="1" customWidth="1"/>
    <col min="26" max="26" width="13.6328125" bestFit="1" customWidth="1"/>
    <col min="36" max="36" width="13.6328125" bestFit="1" customWidth="1"/>
  </cols>
  <sheetData>
    <row r="1" spans="1:40" x14ac:dyDescent="0.35">
      <c r="A1" s="25" t="s">
        <v>39</v>
      </c>
      <c r="B1" s="25"/>
      <c r="C1" s="25"/>
      <c r="D1" s="25"/>
      <c r="E1" s="25"/>
      <c r="F1" s="25"/>
      <c r="G1" s="25"/>
      <c r="H1" s="25"/>
      <c r="I1" s="25"/>
      <c r="L1" s="25" t="s">
        <v>40</v>
      </c>
      <c r="M1" s="25"/>
      <c r="N1" s="25"/>
      <c r="O1" s="25"/>
      <c r="P1" s="25"/>
      <c r="Q1" s="25"/>
      <c r="R1" s="25"/>
      <c r="S1" s="25"/>
      <c r="T1" s="25"/>
      <c r="V1" s="25" t="s">
        <v>43</v>
      </c>
      <c r="W1" s="25"/>
      <c r="X1" s="25"/>
      <c r="Y1" s="25"/>
      <c r="Z1" s="25"/>
      <c r="AA1" s="25"/>
      <c r="AB1" s="25"/>
      <c r="AC1" s="25"/>
      <c r="AD1" s="25"/>
      <c r="AF1" s="25" t="s">
        <v>44</v>
      </c>
      <c r="AG1" s="25"/>
      <c r="AH1" s="25"/>
      <c r="AI1" s="25"/>
      <c r="AJ1" s="25"/>
      <c r="AK1" s="25"/>
      <c r="AL1" s="25"/>
      <c r="AM1" s="25"/>
      <c r="AN1" s="25"/>
    </row>
    <row r="2" spans="1:40" x14ac:dyDescent="0.35">
      <c r="B2" s="26" t="s">
        <v>3</v>
      </c>
      <c r="C2" s="26"/>
      <c r="E2" s="26" t="s">
        <v>4</v>
      </c>
      <c r="F2" s="26"/>
      <c r="M2" s="26" t="s">
        <v>3</v>
      </c>
      <c r="N2" s="26"/>
      <c r="P2" s="26" t="s">
        <v>4</v>
      </c>
      <c r="Q2" s="26"/>
      <c r="W2" s="26" t="s">
        <v>3</v>
      </c>
      <c r="X2" s="26"/>
      <c r="Z2" s="26" t="s">
        <v>4</v>
      </c>
      <c r="AA2" s="26"/>
      <c r="AG2" s="26" t="s">
        <v>3</v>
      </c>
      <c r="AH2" s="26"/>
      <c r="AJ2" s="26" t="s">
        <v>4</v>
      </c>
      <c r="AK2" s="26"/>
    </row>
    <row r="3" spans="1:40" x14ac:dyDescent="0.35">
      <c r="B3" s="3" t="s">
        <v>6</v>
      </c>
      <c r="C3" s="4">
        <v>44744</v>
      </c>
      <c r="E3" s="9" t="s">
        <v>7</v>
      </c>
      <c r="F3" s="10">
        <v>9617</v>
      </c>
      <c r="H3" s="3" t="s">
        <v>8</v>
      </c>
      <c r="I3" s="3">
        <f>SUM(C:C)-SUM(F:F)</f>
        <v>6026</v>
      </c>
      <c r="M3" s="3" t="s">
        <v>6</v>
      </c>
      <c r="N3" s="4">
        <v>44744</v>
      </c>
      <c r="P3" s="9" t="s">
        <v>7</v>
      </c>
      <c r="Q3" s="10">
        <v>9617</v>
      </c>
      <c r="S3" s="3" t="s">
        <v>8</v>
      </c>
      <c r="T3" s="3">
        <f>SUM(N:N)-SUM(Q:Q)</f>
        <v>14798</v>
      </c>
      <c r="W3" s="3" t="s">
        <v>6</v>
      </c>
      <c r="X3" s="4">
        <v>44744</v>
      </c>
      <c r="Z3" s="9" t="s">
        <v>7</v>
      </c>
      <c r="AA3" s="10">
        <v>9617</v>
      </c>
      <c r="AC3" s="3" t="s">
        <v>8</v>
      </c>
      <c r="AD3" s="3">
        <f>SUM(X:X)-SUM(AA:AA)</f>
        <v>14098</v>
      </c>
      <c r="AG3" s="3" t="s">
        <v>6</v>
      </c>
      <c r="AH3" s="4">
        <v>44744</v>
      </c>
      <c r="AJ3" s="9" t="s">
        <v>7</v>
      </c>
      <c r="AK3" s="10">
        <v>9617</v>
      </c>
      <c r="AM3" s="3" t="s">
        <v>8</v>
      </c>
      <c r="AN3" s="3">
        <f>SUM(AH:AH)-SUM(AK:AK)</f>
        <v>298</v>
      </c>
    </row>
    <row r="4" spans="1:40" x14ac:dyDescent="0.35">
      <c r="B4" s="3" t="s">
        <v>18</v>
      </c>
      <c r="C4" s="4">
        <v>6000</v>
      </c>
      <c r="E4" s="34" t="s">
        <v>15</v>
      </c>
      <c r="F4" s="10">
        <v>11494</v>
      </c>
      <c r="M4" s="3" t="s">
        <v>18</v>
      </c>
      <c r="N4" s="4">
        <v>6000</v>
      </c>
      <c r="P4" s="9" t="s">
        <v>15</v>
      </c>
      <c r="Q4" s="10">
        <v>11494</v>
      </c>
      <c r="W4" s="3" t="s">
        <v>18</v>
      </c>
      <c r="X4" s="4">
        <v>6000</v>
      </c>
      <c r="Z4" s="9" t="s">
        <v>15</v>
      </c>
      <c r="AA4" s="10">
        <v>11494</v>
      </c>
      <c r="AG4" s="3" t="s">
        <v>18</v>
      </c>
      <c r="AH4" s="4">
        <v>6000</v>
      </c>
      <c r="AJ4" s="9" t="s">
        <v>15</v>
      </c>
      <c r="AK4" s="10">
        <v>11494</v>
      </c>
    </row>
    <row r="5" spans="1:40" x14ac:dyDescent="0.35">
      <c r="B5" s="3" t="s">
        <v>34</v>
      </c>
      <c r="C5" s="4">
        <v>9700</v>
      </c>
      <c r="E5" s="9" t="s">
        <v>49</v>
      </c>
      <c r="F5" s="10">
        <v>6689</v>
      </c>
      <c r="M5" s="3" t="s">
        <v>34</v>
      </c>
      <c r="N5" s="4">
        <v>9700</v>
      </c>
      <c r="P5" s="9" t="s">
        <v>38</v>
      </c>
      <c r="Q5" s="10">
        <v>6689</v>
      </c>
      <c r="W5" s="3" t="s">
        <v>34</v>
      </c>
      <c r="X5" s="4">
        <v>9700</v>
      </c>
      <c r="Z5" s="9" t="s">
        <v>38</v>
      </c>
      <c r="AA5" s="10">
        <v>6689</v>
      </c>
      <c r="AG5" s="3" t="s">
        <v>34</v>
      </c>
      <c r="AH5" s="4">
        <v>9700</v>
      </c>
      <c r="AJ5" s="9" t="s">
        <v>38</v>
      </c>
      <c r="AK5" s="10">
        <v>6689</v>
      </c>
    </row>
    <row r="6" spans="1:40" x14ac:dyDescent="0.35">
      <c r="B6" s="3" t="s">
        <v>37</v>
      </c>
      <c r="C6" s="4">
        <v>6700</v>
      </c>
      <c r="E6" s="9" t="s">
        <v>45</v>
      </c>
      <c r="F6" s="10">
        <v>12046</v>
      </c>
      <c r="M6" s="3" t="s">
        <v>37</v>
      </c>
      <c r="N6" s="4">
        <v>6700</v>
      </c>
      <c r="P6" s="9" t="s">
        <v>45</v>
      </c>
      <c r="Q6" s="10">
        <v>12046</v>
      </c>
      <c r="W6" s="3" t="s">
        <v>37</v>
      </c>
      <c r="X6" s="4">
        <v>6700</v>
      </c>
      <c r="Z6" s="9" t="s">
        <v>45</v>
      </c>
      <c r="AA6" s="10">
        <v>12046</v>
      </c>
      <c r="AG6" s="3" t="s">
        <v>37</v>
      </c>
      <c r="AH6" s="4">
        <v>6700</v>
      </c>
      <c r="AJ6" s="9" t="s">
        <v>45</v>
      </c>
      <c r="AK6" s="10">
        <v>12046</v>
      </c>
    </row>
    <row r="7" spans="1:40" x14ac:dyDescent="0.35">
      <c r="B7" s="3" t="s">
        <v>41</v>
      </c>
      <c r="C7" s="4">
        <f>56792</f>
        <v>56792</v>
      </c>
      <c r="E7" s="34" t="s">
        <v>17</v>
      </c>
      <c r="F7" s="11">
        <v>10000</v>
      </c>
      <c r="P7" s="9" t="s">
        <v>17</v>
      </c>
      <c r="Q7" s="11">
        <v>10000</v>
      </c>
      <c r="Z7" s="9" t="s">
        <v>17</v>
      </c>
      <c r="AA7" s="11">
        <v>10000</v>
      </c>
      <c r="AJ7" s="9" t="s">
        <v>17</v>
      </c>
      <c r="AK7" s="11">
        <v>10000</v>
      </c>
    </row>
    <row r="8" spans="1:40" x14ac:dyDescent="0.35">
      <c r="E8" s="34" t="s">
        <v>19</v>
      </c>
      <c r="F8" s="11">
        <v>8000</v>
      </c>
      <c r="P8" s="9" t="s">
        <v>19</v>
      </c>
      <c r="Q8" s="11">
        <v>0</v>
      </c>
      <c r="Z8" s="9" t="s">
        <v>19</v>
      </c>
      <c r="AA8" s="11">
        <v>0</v>
      </c>
      <c r="AJ8" s="9" t="s">
        <v>19</v>
      </c>
      <c r="AK8" s="11">
        <v>15000</v>
      </c>
    </row>
    <row r="9" spans="1:40" x14ac:dyDescent="0.35">
      <c r="A9" s="2"/>
      <c r="E9" s="34" t="s">
        <v>47</v>
      </c>
      <c r="F9" s="11">
        <v>1000</v>
      </c>
      <c r="P9" s="9" t="s">
        <v>25</v>
      </c>
      <c r="Q9" s="12">
        <v>2000</v>
      </c>
      <c r="Z9" s="9" t="s">
        <v>25</v>
      </c>
      <c r="AA9" s="12">
        <v>2000</v>
      </c>
      <c r="AJ9" s="9" t="s">
        <v>14</v>
      </c>
      <c r="AK9" s="12">
        <v>2000</v>
      </c>
    </row>
    <row r="10" spans="1:40" x14ac:dyDescent="0.35">
      <c r="E10" s="34" t="s">
        <v>25</v>
      </c>
      <c r="F10" s="12">
        <v>2000</v>
      </c>
      <c r="P10" s="9" t="s">
        <v>26</v>
      </c>
      <c r="Q10" s="11">
        <v>0</v>
      </c>
      <c r="Z10" s="9" t="s">
        <v>26</v>
      </c>
      <c r="AA10" s="11">
        <v>700</v>
      </c>
      <c r="AJ10" s="9" t="s">
        <v>26</v>
      </c>
      <c r="AK10" s="11">
        <v>0</v>
      </c>
    </row>
    <row r="11" spans="1:40" x14ac:dyDescent="0.35">
      <c r="E11" s="34" t="s">
        <v>26</v>
      </c>
      <c r="F11" s="11">
        <v>700</v>
      </c>
      <c r="P11" s="9" t="s">
        <v>46</v>
      </c>
      <c r="Q11" s="10">
        <v>500</v>
      </c>
      <c r="Z11" s="9" t="s">
        <v>46</v>
      </c>
      <c r="AA11" s="10">
        <v>500</v>
      </c>
    </row>
    <row r="12" spans="1:40" x14ac:dyDescent="0.35">
      <c r="E12" s="34" t="s">
        <v>55</v>
      </c>
      <c r="F12" s="10">
        <v>36364</v>
      </c>
    </row>
    <row r="13" spans="1:40" x14ac:dyDescent="0.35">
      <c r="E13" s="34" t="s">
        <v>56</v>
      </c>
      <c r="F13" s="10">
        <v>20000</v>
      </c>
    </row>
    <row r="17" spans="1:1" x14ac:dyDescent="0.35">
      <c r="A17" s="2">
        <v>100000</v>
      </c>
    </row>
    <row r="18" spans="1:1" x14ac:dyDescent="0.35">
      <c r="A18" s="2">
        <f>105292-40500-8000</f>
        <v>56792</v>
      </c>
    </row>
  </sheetData>
  <mergeCells count="12">
    <mergeCell ref="A1:I1"/>
    <mergeCell ref="B2:C2"/>
    <mergeCell ref="E2:F2"/>
    <mergeCell ref="L1:T1"/>
    <mergeCell ref="M2:N2"/>
    <mergeCell ref="P2:Q2"/>
    <mergeCell ref="V1:AD1"/>
    <mergeCell ref="W2:X2"/>
    <mergeCell ref="Z2:AA2"/>
    <mergeCell ref="AF1:AN1"/>
    <mergeCell ref="AG2:AH2"/>
    <mergeCell ref="AJ2:A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52C8-7850-460B-A78B-FC3D07EB455F}">
  <dimension ref="A1:S29"/>
  <sheetViews>
    <sheetView topLeftCell="A4" workbookViewId="0">
      <selection activeCell="A23" sqref="A23:XFD23"/>
    </sheetView>
  </sheetViews>
  <sheetFormatPr defaultRowHeight="14.5" x14ac:dyDescent="0.35"/>
  <cols>
    <col min="1" max="1" width="8.6328125" bestFit="1" customWidth="1"/>
    <col min="2" max="3" width="10.453125" bestFit="1" customWidth="1"/>
    <col min="4" max="4" width="9.26953125" bestFit="1" customWidth="1"/>
    <col min="5" max="5" width="6.36328125" bestFit="1" customWidth="1"/>
    <col min="6" max="6" width="8.90625" bestFit="1" customWidth="1"/>
    <col min="7" max="7" width="9.6328125" bestFit="1" customWidth="1"/>
    <col min="17" max="17" width="6.81640625" bestFit="1" customWidth="1"/>
    <col min="18" max="18" width="5.81640625" bestFit="1" customWidth="1"/>
    <col min="19" max="19" width="7.36328125" bestFit="1" customWidth="1"/>
  </cols>
  <sheetData>
    <row r="1" spans="1:19" x14ac:dyDescent="0.35">
      <c r="A1" s="9" t="s">
        <v>20</v>
      </c>
      <c r="B1" s="9" t="s">
        <v>21</v>
      </c>
      <c r="C1" s="9" t="s">
        <v>10</v>
      </c>
      <c r="O1" s="33" t="s">
        <v>27</v>
      </c>
      <c r="P1" s="8" t="s">
        <v>22</v>
      </c>
      <c r="Q1" s="8" t="s">
        <v>23</v>
      </c>
      <c r="R1" s="8" t="s">
        <v>21</v>
      </c>
      <c r="S1" s="8" t="s">
        <v>8</v>
      </c>
    </row>
    <row r="2" spans="1:19" x14ac:dyDescent="0.35">
      <c r="A2" s="9" t="s">
        <v>16</v>
      </c>
      <c r="B2" s="9">
        <v>2910</v>
      </c>
      <c r="C2" s="15">
        <v>48254</v>
      </c>
      <c r="O2" s="33"/>
      <c r="P2" s="21">
        <v>46113</v>
      </c>
      <c r="Q2" s="22">
        <f>26000+44000</f>
        <v>70000</v>
      </c>
      <c r="R2" s="22">
        <f>6000+10000</f>
        <v>16000</v>
      </c>
      <c r="S2" s="22">
        <f>Q2-R2</f>
        <v>54000</v>
      </c>
    </row>
    <row r="3" spans="1:19" x14ac:dyDescent="0.35">
      <c r="A3" s="9" t="s">
        <v>27</v>
      </c>
      <c r="B3" s="9">
        <v>3900</v>
      </c>
      <c r="C3" s="15">
        <v>48254</v>
      </c>
      <c r="O3" s="33"/>
      <c r="P3" s="7">
        <v>46143</v>
      </c>
      <c r="Q3" s="6">
        <f>S2</f>
        <v>54000</v>
      </c>
      <c r="R3" s="6">
        <v>2000</v>
      </c>
      <c r="S3" s="6">
        <f>Q3-R3</f>
        <v>52000</v>
      </c>
    </row>
    <row r="4" spans="1:19" x14ac:dyDescent="0.35">
      <c r="A4" s="9" t="s">
        <v>18</v>
      </c>
      <c r="B4" s="9">
        <v>6000</v>
      </c>
      <c r="C4" s="15">
        <v>46822</v>
      </c>
      <c r="O4" s="33"/>
      <c r="P4" s="7">
        <v>46174</v>
      </c>
      <c r="Q4" s="6">
        <f>S3</f>
        <v>52000</v>
      </c>
      <c r="R4" s="6">
        <v>2000</v>
      </c>
      <c r="S4" s="6">
        <f t="shared" ref="S4:S29" si="0">Q4-R4</f>
        <v>50000</v>
      </c>
    </row>
    <row r="5" spans="1:19" x14ac:dyDescent="0.35">
      <c r="O5" s="33"/>
      <c r="P5" s="7">
        <v>46204</v>
      </c>
      <c r="Q5" s="6">
        <f t="shared" ref="Q5:Q29" si="1">S4</f>
        <v>50000</v>
      </c>
      <c r="R5" s="6">
        <v>2000</v>
      </c>
      <c r="S5" s="6">
        <f t="shared" si="0"/>
        <v>48000</v>
      </c>
    </row>
    <row r="6" spans="1:19" x14ac:dyDescent="0.35">
      <c r="O6" s="33"/>
      <c r="P6" s="7">
        <v>46235</v>
      </c>
      <c r="Q6" s="6">
        <f t="shared" si="1"/>
        <v>48000</v>
      </c>
      <c r="R6" s="6">
        <v>2000</v>
      </c>
      <c r="S6" s="6">
        <f t="shared" si="0"/>
        <v>46000</v>
      </c>
    </row>
    <row r="7" spans="1:19" x14ac:dyDescent="0.35">
      <c r="A7" s="9" t="s">
        <v>28</v>
      </c>
      <c r="B7" s="9" t="s">
        <v>29</v>
      </c>
      <c r="C7" s="9" t="s">
        <v>30</v>
      </c>
      <c r="O7" s="33"/>
      <c r="P7" s="7">
        <v>46266</v>
      </c>
      <c r="Q7" s="6">
        <f t="shared" si="1"/>
        <v>46000</v>
      </c>
      <c r="R7" s="6">
        <v>2000</v>
      </c>
      <c r="S7" s="6">
        <f t="shared" si="0"/>
        <v>44000</v>
      </c>
    </row>
    <row r="8" spans="1:19" x14ac:dyDescent="0.35">
      <c r="A8" s="9" t="s">
        <v>31</v>
      </c>
      <c r="B8" s="9" t="s">
        <v>32</v>
      </c>
      <c r="C8" s="14">
        <f>10000+20000+20000+20000+25000+5000+20000</f>
        <v>120000</v>
      </c>
      <c r="O8" s="33"/>
      <c r="P8" s="7">
        <v>46296</v>
      </c>
      <c r="Q8" s="6">
        <f t="shared" si="1"/>
        <v>44000</v>
      </c>
      <c r="R8" s="6">
        <v>2000</v>
      </c>
      <c r="S8" s="6">
        <f t="shared" si="0"/>
        <v>42000</v>
      </c>
    </row>
    <row r="9" spans="1:19" x14ac:dyDescent="0.35">
      <c r="A9" s="9" t="s">
        <v>33</v>
      </c>
      <c r="B9" s="9" t="s">
        <v>34</v>
      </c>
      <c r="C9" s="14">
        <f>26000+44000-6000-10000</f>
        <v>54000</v>
      </c>
      <c r="O9" s="33"/>
      <c r="P9" s="7">
        <v>46327</v>
      </c>
      <c r="Q9" s="6">
        <f t="shared" si="1"/>
        <v>42000</v>
      </c>
      <c r="R9" s="6">
        <v>2000</v>
      </c>
      <c r="S9" s="6">
        <f t="shared" si="0"/>
        <v>40000</v>
      </c>
    </row>
    <row r="10" spans="1:19" x14ac:dyDescent="0.35">
      <c r="A10" s="9" t="s">
        <v>42</v>
      </c>
      <c r="B10" s="9" t="s">
        <v>34</v>
      </c>
      <c r="C10" s="14">
        <f>20000+20000+20000+25000+20000</f>
        <v>105000</v>
      </c>
      <c r="O10" s="33"/>
      <c r="P10" s="7">
        <v>46357</v>
      </c>
      <c r="Q10" s="6">
        <f t="shared" si="1"/>
        <v>40000</v>
      </c>
      <c r="R10" s="6">
        <v>2000</v>
      </c>
      <c r="S10" s="6">
        <f t="shared" si="0"/>
        <v>38000</v>
      </c>
    </row>
    <row r="11" spans="1:19" x14ac:dyDescent="0.35">
      <c r="A11" s="9" t="s">
        <v>32</v>
      </c>
      <c r="B11" s="9" t="s">
        <v>16</v>
      </c>
      <c r="C11" s="14">
        <f>C20</f>
        <v>550412</v>
      </c>
      <c r="O11" s="33"/>
      <c r="P11" s="7">
        <v>46388</v>
      </c>
      <c r="Q11" s="6">
        <f t="shared" si="1"/>
        <v>38000</v>
      </c>
      <c r="R11" s="6">
        <v>2000</v>
      </c>
      <c r="S11" s="6">
        <f t="shared" si="0"/>
        <v>36000</v>
      </c>
    </row>
    <row r="12" spans="1:19" x14ac:dyDescent="0.35">
      <c r="A12" s="9" t="s">
        <v>34</v>
      </c>
      <c r="B12" s="9" t="s">
        <v>32</v>
      </c>
      <c r="C12" s="14">
        <v>400000</v>
      </c>
      <c r="O12" s="33"/>
      <c r="P12" s="7">
        <v>46419</v>
      </c>
      <c r="Q12" s="6">
        <f>S11</f>
        <v>36000</v>
      </c>
      <c r="R12" s="6">
        <v>2000</v>
      </c>
      <c r="S12" s="6">
        <f t="shared" si="0"/>
        <v>34000</v>
      </c>
    </row>
    <row r="13" spans="1:19" x14ac:dyDescent="0.35">
      <c r="A13" s="9" t="s">
        <v>31</v>
      </c>
      <c r="B13" s="9" t="s">
        <v>32</v>
      </c>
      <c r="C13" s="14">
        <f>C22</f>
        <v>294360</v>
      </c>
      <c r="O13" s="33"/>
      <c r="P13" s="7">
        <v>46447</v>
      </c>
      <c r="Q13" s="6">
        <f t="shared" si="1"/>
        <v>34000</v>
      </c>
      <c r="R13" s="6">
        <v>2000</v>
      </c>
      <c r="S13" s="6">
        <f t="shared" si="0"/>
        <v>32000</v>
      </c>
    </row>
    <row r="14" spans="1:19" x14ac:dyDescent="0.35">
      <c r="G14" s="2"/>
      <c r="O14" s="33"/>
      <c r="P14" s="7">
        <v>46478</v>
      </c>
      <c r="Q14" s="6">
        <f t="shared" si="1"/>
        <v>32000</v>
      </c>
      <c r="R14" s="6">
        <v>2000</v>
      </c>
      <c r="S14" s="6">
        <f t="shared" si="0"/>
        <v>30000</v>
      </c>
    </row>
    <row r="15" spans="1:19" x14ac:dyDescent="0.35">
      <c r="G15" s="2"/>
      <c r="O15" s="33"/>
      <c r="P15" s="7">
        <v>46508</v>
      </c>
      <c r="Q15" s="6">
        <f t="shared" si="1"/>
        <v>30000</v>
      </c>
      <c r="R15" s="6">
        <v>2000</v>
      </c>
      <c r="S15" s="6">
        <f t="shared" si="0"/>
        <v>28000</v>
      </c>
    </row>
    <row r="16" spans="1:19" x14ac:dyDescent="0.35">
      <c r="O16" s="33"/>
      <c r="P16" s="7">
        <v>46539</v>
      </c>
      <c r="Q16" s="6">
        <f t="shared" si="1"/>
        <v>28000</v>
      </c>
      <c r="R16" s="6">
        <v>2000</v>
      </c>
      <c r="S16" s="6">
        <f t="shared" si="0"/>
        <v>26000</v>
      </c>
    </row>
    <row r="17" spans="1:19" x14ac:dyDescent="0.35">
      <c r="O17" s="33"/>
      <c r="P17" s="7">
        <v>46569</v>
      </c>
      <c r="Q17" s="6">
        <f t="shared" si="1"/>
        <v>26000</v>
      </c>
      <c r="R17" s="6">
        <v>2000</v>
      </c>
      <c r="S17" s="6">
        <f t="shared" si="0"/>
        <v>24000</v>
      </c>
    </row>
    <row r="18" spans="1:19" x14ac:dyDescent="0.35">
      <c r="O18" s="33"/>
      <c r="P18" s="7">
        <v>46600</v>
      </c>
      <c r="Q18" s="6">
        <f t="shared" si="1"/>
        <v>24000</v>
      </c>
      <c r="R18" s="6">
        <v>2000</v>
      </c>
      <c r="S18" s="6">
        <f t="shared" si="0"/>
        <v>22000</v>
      </c>
    </row>
    <row r="19" spans="1:19" x14ac:dyDescent="0.35">
      <c r="A19" s="9" t="s">
        <v>20</v>
      </c>
      <c r="B19" s="9" t="s">
        <v>23</v>
      </c>
      <c r="C19" s="9" t="s">
        <v>24</v>
      </c>
      <c r="D19" s="9" t="s">
        <v>36</v>
      </c>
      <c r="E19" s="9" t="s">
        <v>21</v>
      </c>
      <c r="F19" s="9" t="s">
        <v>5</v>
      </c>
      <c r="G19" s="9" t="s">
        <v>50</v>
      </c>
      <c r="H19" s="9" t="s">
        <v>57</v>
      </c>
      <c r="O19" s="33"/>
      <c r="P19" s="7">
        <v>46631</v>
      </c>
      <c r="Q19" s="6">
        <f t="shared" si="1"/>
        <v>22000</v>
      </c>
      <c r="R19" s="6">
        <v>2000</v>
      </c>
      <c r="S19" s="6">
        <f t="shared" si="0"/>
        <v>20000</v>
      </c>
    </row>
    <row r="20" spans="1:19" x14ac:dyDescent="0.35">
      <c r="A20" s="9" t="s">
        <v>16</v>
      </c>
      <c r="B20" s="13">
        <v>645281.18000000005</v>
      </c>
      <c r="C20" s="14">
        <v>550412</v>
      </c>
      <c r="D20" s="9">
        <v>50</v>
      </c>
      <c r="E20" s="14">
        <v>14294</v>
      </c>
      <c r="F20" s="14">
        <f>D20*E20</f>
        <v>714700</v>
      </c>
      <c r="G20" s="9" t="s">
        <v>51</v>
      </c>
      <c r="H20" s="24">
        <v>11.25</v>
      </c>
      <c r="O20" s="33"/>
      <c r="P20" s="7">
        <v>46661</v>
      </c>
      <c r="Q20" s="6">
        <f t="shared" si="1"/>
        <v>20000</v>
      </c>
      <c r="R20" s="6">
        <v>2000</v>
      </c>
      <c r="S20" s="6">
        <f t="shared" si="0"/>
        <v>18000</v>
      </c>
    </row>
    <row r="21" spans="1:19" x14ac:dyDescent="0.35">
      <c r="A21" s="9" t="s">
        <v>48</v>
      </c>
      <c r="B21" s="13">
        <v>491741.18</v>
      </c>
      <c r="C21" s="14">
        <v>480090</v>
      </c>
      <c r="D21" s="9">
        <v>68</v>
      </c>
      <c r="E21" s="14">
        <v>9617</v>
      </c>
      <c r="F21" s="14">
        <f>D21*E21</f>
        <v>653956</v>
      </c>
      <c r="G21" s="9" t="s">
        <v>52</v>
      </c>
      <c r="H21" s="24">
        <v>11.4</v>
      </c>
      <c r="O21" s="33"/>
      <c r="P21" s="7">
        <v>46692</v>
      </c>
      <c r="Q21" s="6">
        <f t="shared" si="1"/>
        <v>18000</v>
      </c>
      <c r="R21" s="6">
        <v>2000</v>
      </c>
      <c r="S21" s="6">
        <f t="shared" si="0"/>
        <v>16000</v>
      </c>
    </row>
    <row r="22" spans="1:19" x14ac:dyDescent="0.35">
      <c r="A22" s="9" t="s">
        <v>37</v>
      </c>
      <c r="B22" s="13">
        <v>294360</v>
      </c>
      <c r="C22" s="14">
        <v>294360</v>
      </c>
      <c r="D22" s="9">
        <v>60</v>
      </c>
      <c r="E22" s="14">
        <v>6689</v>
      </c>
      <c r="F22" s="14">
        <f>D22*E22</f>
        <v>401340</v>
      </c>
      <c r="G22" s="9" t="s">
        <v>53</v>
      </c>
      <c r="H22" s="24">
        <v>12.1</v>
      </c>
      <c r="O22" s="33"/>
      <c r="P22" s="7">
        <v>46722</v>
      </c>
      <c r="Q22" s="6">
        <f t="shared" si="1"/>
        <v>16000</v>
      </c>
      <c r="R22" s="6">
        <v>2000</v>
      </c>
      <c r="S22" s="6">
        <f t="shared" si="0"/>
        <v>14000</v>
      </c>
    </row>
    <row r="23" spans="1:19" x14ac:dyDescent="0.35">
      <c r="A23" s="9" t="s">
        <v>14</v>
      </c>
      <c r="B23" s="13">
        <v>512000</v>
      </c>
      <c r="C23" s="14">
        <v>505292</v>
      </c>
      <c r="D23" s="9">
        <v>60</v>
      </c>
      <c r="E23" s="14">
        <v>12046</v>
      </c>
      <c r="F23" s="14">
        <f>D23*E23</f>
        <v>722760</v>
      </c>
      <c r="G23" s="9" t="s">
        <v>54</v>
      </c>
      <c r="H23" s="24">
        <v>14.5</v>
      </c>
      <c r="O23" s="33"/>
      <c r="P23" s="7">
        <v>46753</v>
      </c>
      <c r="Q23" s="6">
        <f t="shared" si="1"/>
        <v>14000</v>
      </c>
      <c r="R23" s="6">
        <v>2000</v>
      </c>
      <c r="S23" s="6">
        <f t="shared" si="0"/>
        <v>12000</v>
      </c>
    </row>
    <row r="24" spans="1:19" x14ac:dyDescent="0.35">
      <c r="A24" s="9" t="s">
        <v>16</v>
      </c>
      <c r="B24" s="13">
        <v>203000</v>
      </c>
      <c r="C24" s="14">
        <v>200604</v>
      </c>
      <c r="D24" s="9">
        <v>60</v>
      </c>
      <c r="E24" s="14"/>
      <c r="F24" s="14"/>
      <c r="G24" s="9"/>
      <c r="H24" s="24">
        <v>10.55</v>
      </c>
      <c r="O24" s="33"/>
      <c r="P24" s="7">
        <v>46784</v>
      </c>
      <c r="Q24" s="6">
        <f>S23</f>
        <v>12000</v>
      </c>
      <c r="R24" s="6">
        <v>2000</v>
      </c>
      <c r="S24" s="6">
        <f>Q24-R24</f>
        <v>10000</v>
      </c>
    </row>
    <row r="25" spans="1:19" x14ac:dyDescent="0.35">
      <c r="O25" s="33"/>
      <c r="P25" s="7">
        <v>46813</v>
      </c>
      <c r="Q25" s="6">
        <f>S24</f>
        <v>10000</v>
      </c>
      <c r="R25" s="6">
        <v>2000</v>
      </c>
      <c r="S25" s="6">
        <f>Q25-R25</f>
        <v>8000</v>
      </c>
    </row>
    <row r="26" spans="1:19" x14ac:dyDescent="0.35">
      <c r="O26" s="33"/>
      <c r="P26" s="7">
        <v>46844</v>
      </c>
      <c r="Q26" s="6">
        <f>S25</f>
        <v>8000</v>
      </c>
      <c r="R26" s="6">
        <v>2000</v>
      </c>
      <c r="S26" s="6">
        <f t="shared" si="0"/>
        <v>6000</v>
      </c>
    </row>
    <row r="27" spans="1:19" x14ac:dyDescent="0.35">
      <c r="O27" s="33"/>
      <c r="P27" s="7">
        <v>46874</v>
      </c>
      <c r="Q27" s="6">
        <f t="shared" si="1"/>
        <v>6000</v>
      </c>
      <c r="R27" s="6">
        <v>2000</v>
      </c>
      <c r="S27" s="6">
        <f t="shared" si="0"/>
        <v>4000</v>
      </c>
    </row>
    <row r="28" spans="1:19" x14ac:dyDescent="0.35">
      <c r="O28" s="33"/>
      <c r="P28" s="7">
        <v>46905</v>
      </c>
      <c r="Q28" s="6">
        <f t="shared" si="1"/>
        <v>4000</v>
      </c>
      <c r="R28" s="6">
        <v>2000</v>
      </c>
      <c r="S28" s="6">
        <f t="shared" si="0"/>
        <v>2000</v>
      </c>
    </row>
    <row r="29" spans="1:19" x14ac:dyDescent="0.35">
      <c r="O29" s="33"/>
      <c r="P29" s="7">
        <v>46935</v>
      </c>
      <c r="Q29" s="6">
        <f t="shared" si="1"/>
        <v>2000</v>
      </c>
      <c r="R29" s="6">
        <v>2000</v>
      </c>
      <c r="S29" s="6">
        <f t="shared" si="0"/>
        <v>0</v>
      </c>
    </row>
  </sheetData>
  <mergeCells count="1">
    <mergeCell ref="O1:O2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</vt:lpstr>
      <vt:lpstr>Sheet1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sameer(ＴＴＤＩ TTDI)</dc:creator>
  <cp:lastModifiedBy>kosireddi sai divya(ＴＴＤＩ Toshiba Transmission &amp; Distri</cp:lastModifiedBy>
  <dcterms:created xsi:type="dcterms:W3CDTF">2026-02-05T04:21:24Z</dcterms:created>
  <dcterms:modified xsi:type="dcterms:W3CDTF">2026-05-06T06:27:37Z</dcterms:modified>
</cp:coreProperties>
</file>